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theja\Documents\"/>
    </mc:Choice>
  </mc:AlternateContent>
  <xr:revisionPtr revIDLastSave="0" documentId="8_{9433841E-D73F-4860-922B-4F33CFC98C82}" xr6:coauthVersionLast="47" xr6:coauthVersionMax="47" xr10:uidLastSave="{00000000-0000-0000-0000-000000000000}"/>
  <bookViews>
    <workbookView xWindow="-108" yWindow="-108" windowWidth="23256" windowHeight="12456" firstSheet="3" activeTab="3" xr2:uid="{DF1B6766-CF31-4B1B-AED0-A958E05C1A84}"/>
  </bookViews>
  <sheets>
    <sheet name="Navigation" sheetId="1" state="hidden" r:id="rId1"/>
    <sheet name="Voting Accuracy" sheetId="2" state="hidden" r:id="rId2"/>
    <sheet name="Alliance Size" sheetId="3" state="hidden" r:id="rId3"/>
    <sheet name="Challenge Performance" sheetId="4" r:id="rId4"/>
  </sheets>
  <definedNames>
    <definedName name="Slicer_Name">#N/A</definedName>
    <definedName name="Slicer_Name1">#N/A</definedName>
    <definedName name="Slicer_Name2">#N/A</definedName>
  </definedNames>
  <calcPr calcId="191029"/>
  <pivotCaches>
    <pivotCache cacheId="51" r:id="rId5"/>
    <pivotCache cacheId="52" r:id="rId6"/>
    <pivotCache cacheId="53" r:id="rId7"/>
    <pivotCache cacheId="54" r:id="rId8"/>
    <pivotCache cacheId="55" r:id="rId9"/>
    <pivotCache cacheId="56" r:id="rId10"/>
    <pivotCache cacheId="69"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4" i="4" l="1"/>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33" i="4"/>
  <c r="I396" i="4"/>
  <c r="K396" i="4" s="1"/>
  <c r="J396" i="4"/>
  <c r="G396" i="4"/>
  <c r="I374" i="4"/>
  <c r="K374" i="4" s="1"/>
  <c r="J374" i="4"/>
  <c r="G374" i="4"/>
  <c r="I342" i="4"/>
  <c r="K342" i="4" s="1"/>
  <c r="J342" i="4"/>
  <c r="G342" i="4"/>
  <c r="I391" i="4"/>
  <c r="K391" i="4" s="1"/>
  <c r="J391" i="4"/>
  <c r="G391" i="4"/>
  <c r="I392" i="4"/>
  <c r="K392" i="4" s="1"/>
  <c r="J392" i="4"/>
  <c r="G392" i="4"/>
  <c r="I394" i="4"/>
  <c r="K394" i="4" s="1"/>
  <c r="J394" i="4"/>
  <c r="G394" i="4"/>
  <c r="I373" i="4"/>
  <c r="K373" i="4" s="1"/>
  <c r="J373" i="4"/>
  <c r="G373" i="4"/>
  <c r="I309" i="4"/>
  <c r="K309" i="4" s="1"/>
  <c r="J309" i="4"/>
  <c r="G309" i="4"/>
  <c r="I403" i="4"/>
  <c r="K403" i="4" s="1"/>
  <c r="J403" i="4"/>
  <c r="G403" i="4"/>
  <c r="I334" i="4"/>
  <c r="K334" i="4" s="1"/>
  <c r="J334" i="4"/>
  <c r="G334" i="4"/>
  <c r="I294" i="4"/>
  <c r="K294" i="4" s="1"/>
  <c r="J294" i="4"/>
  <c r="G294" i="4"/>
  <c r="I380" i="4"/>
  <c r="K380" i="4" s="1"/>
  <c r="J380" i="4"/>
  <c r="G380" i="4"/>
  <c r="I331" i="4"/>
  <c r="K331" i="4" s="1"/>
  <c r="J331" i="4"/>
  <c r="G331" i="4"/>
  <c r="I308" i="4"/>
  <c r="K308" i="4" s="1"/>
  <c r="J308" i="4"/>
  <c r="G308" i="4"/>
  <c r="I358" i="4"/>
  <c r="K358" i="4" s="1"/>
  <c r="J358" i="4"/>
  <c r="G358" i="4"/>
  <c r="I398" i="4"/>
  <c r="K398" i="4" s="1"/>
  <c r="J398" i="4"/>
  <c r="G398" i="4"/>
  <c r="I332" i="4"/>
  <c r="K332" i="4" s="1"/>
  <c r="J332" i="4"/>
  <c r="G332" i="4"/>
  <c r="I326" i="4"/>
  <c r="K326" i="4" s="1"/>
  <c r="J326" i="4"/>
  <c r="G326" i="4"/>
  <c r="I324" i="4"/>
  <c r="K324" i="4" s="1"/>
  <c r="J324" i="4"/>
  <c r="G324" i="4"/>
  <c r="I348" i="4"/>
  <c r="K348" i="4" s="1"/>
  <c r="J348" i="4"/>
  <c r="G348" i="4"/>
  <c r="I350" i="4"/>
  <c r="K350" i="4" s="1"/>
  <c r="J350" i="4"/>
  <c r="G350" i="4"/>
  <c r="I323" i="4"/>
  <c r="K323" i="4" s="1"/>
  <c r="J323" i="4"/>
  <c r="G323" i="4"/>
  <c r="I383" i="4"/>
  <c r="K383" i="4" s="1"/>
  <c r="J383" i="4"/>
  <c r="G383" i="4"/>
  <c r="I311" i="4"/>
  <c r="K311" i="4" s="1"/>
  <c r="J311" i="4"/>
  <c r="G311" i="4"/>
  <c r="I316" i="4"/>
  <c r="K316" i="4" s="1"/>
  <c r="J316" i="4"/>
  <c r="G316" i="4"/>
  <c r="I307" i="4"/>
  <c r="K307" i="4" s="1"/>
  <c r="J307" i="4"/>
  <c r="G307" i="4"/>
  <c r="I330" i="4"/>
  <c r="K330" i="4" s="1"/>
  <c r="J330" i="4"/>
  <c r="G330" i="4"/>
  <c r="I284" i="4"/>
  <c r="K284" i="4" s="1"/>
  <c r="J284" i="4"/>
  <c r="G284" i="4"/>
  <c r="I389" i="4"/>
  <c r="K389" i="4" s="1"/>
  <c r="J389" i="4"/>
  <c r="G389" i="4"/>
  <c r="I399" i="4"/>
  <c r="K399" i="4" s="1"/>
  <c r="J399" i="4"/>
  <c r="G399" i="4"/>
  <c r="I347" i="4"/>
  <c r="K347" i="4" s="1"/>
  <c r="J347" i="4"/>
  <c r="G347" i="4"/>
  <c r="I306" i="4"/>
  <c r="K306" i="4" s="1"/>
  <c r="J306" i="4"/>
  <c r="G306" i="4"/>
  <c r="I393" i="4"/>
  <c r="K393" i="4" s="1"/>
  <c r="J393" i="4"/>
  <c r="G393" i="4"/>
  <c r="I359" i="4"/>
  <c r="K359" i="4" s="1"/>
  <c r="J359" i="4"/>
  <c r="G359" i="4"/>
  <c r="I293" i="4"/>
  <c r="K293" i="4" s="1"/>
  <c r="J293" i="4"/>
  <c r="G293" i="4"/>
  <c r="I352" i="4"/>
  <c r="K352" i="4" s="1"/>
  <c r="J352" i="4"/>
  <c r="G352" i="4"/>
  <c r="I372" i="4"/>
  <c r="K372" i="4" s="1"/>
  <c r="J372" i="4"/>
  <c r="G372" i="4"/>
  <c r="I388" i="4"/>
  <c r="K388" i="4" s="1"/>
  <c r="J388" i="4"/>
  <c r="G388" i="4"/>
  <c r="I378" i="4"/>
  <c r="K378" i="4" s="1"/>
  <c r="J378" i="4"/>
  <c r="G378" i="4"/>
  <c r="I371" i="4"/>
  <c r="K371" i="4" s="1"/>
  <c r="J371" i="4"/>
  <c r="G371" i="4"/>
  <c r="I283" i="4"/>
  <c r="K283" i="4" s="1"/>
  <c r="J283" i="4"/>
  <c r="G283" i="4"/>
  <c r="I319" i="4"/>
  <c r="K319" i="4" s="1"/>
  <c r="J319" i="4"/>
  <c r="G319" i="4"/>
  <c r="I292" i="4"/>
  <c r="K292" i="4" s="1"/>
  <c r="J292" i="4"/>
  <c r="G292" i="4"/>
  <c r="I402" i="4"/>
  <c r="K402" i="4" s="1"/>
  <c r="J402" i="4"/>
  <c r="G402" i="4"/>
  <c r="I322" i="4"/>
  <c r="K322" i="4" s="1"/>
  <c r="J322" i="4"/>
  <c r="G322" i="4"/>
  <c r="I343" i="4"/>
  <c r="K343" i="4" s="1"/>
  <c r="J343" i="4"/>
  <c r="G343" i="4"/>
  <c r="I382" i="4"/>
  <c r="K382" i="4" s="1"/>
  <c r="J382" i="4"/>
  <c r="G382" i="4"/>
  <c r="I291" i="4"/>
  <c r="K291" i="4" s="1"/>
  <c r="J291" i="4"/>
  <c r="G291" i="4"/>
  <c r="I325" i="4"/>
  <c r="K325" i="4" s="1"/>
  <c r="J325" i="4"/>
  <c r="G325" i="4"/>
  <c r="I379" i="4"/>
  <c r="K379" i="4" s="1"/>
  <c r="J379" i="4"/>
  <c r="G379" i="4"/>
  <c r="I329" i="4"/>
  <c r="K329" i="4" s="1"/>
  <c r="J329" i="4"/>
  <c r="G329" i="4"/>
  <c r="I395" i="4"/>
  <c r="K395" i="4" s="1"/>
  <c r="J395" i="4"/>
  <c r="G395" i="4"/>
  <c r="I305" i="4"/>
  <c r="K305" i="4" s="1"/>
  <c r="J305" i="4"/>
  <c r="G305" i="4"/>
  <c r="I346" i="4"/>
  <c r="K346" i="4" s="1"/>
  <c r="J346" i="4"/>
  <c r="G346" i="4"/>
  <c r="I310" i="4"/>
  <c r="K310" i="4" s="1"/>
  <c r="J310" i="4"/>
  <c r="G310" i="4"/>
  <c r="I340" i="4"/>
  <c r="K340" i="4" s="1"/>
  <c r="J340" i="4"/>
  <c r="G340" i="4"/>
  <c r="I354" i="4"/>
  <c r="K354" i="4" s="1"/>
  <c r="J354" i="4"/>
  <c r="G354" i="4"/>
  <c r="I345" i="4"/>
  <c r="K345" i="4" s="1"/>
  <c r="J345" i="4"/>
  <c r="G345" i="4"/>
  <c r="I370" i="4"/>
  <c r="K370" i="4" s="1"/>
  <c r="J370" i="4"/>
  <c r="G370" i="4"/>
  <c r="I339" i="4"/>
  <c r="K339" i="4" s="1"/>
  <c r="J339" i="4"/>
  <c r="G339" i="4"/>
  <c r="I304" i="4"/>
  <c r="K304" i="4" s="1"/>
  <c r="J304" i="4"/>
  <c r="G304" i="4"/>
  <c r="I315" i="4"/>
  <c r="K315" i="4" s="1"/>
  <c r="J315" i="4"/>
  <c r="G315" i="4"/>
  <c r="I303" i="4"/>
  <c r="K303" i="4" s="1"/>
  <c r="J303" i="4"/>
  <c r="G303" i="4"/>
  <c r="I290" i="4"/>
  <c r="K290" i="4" s="1"/>
  <c r="J290" i="4"/>
  <c r="G290" i="4"/>
  <c r="I369" i="4"/>
  <c r="K369" i="4" s="1"/>
  <c r="J369" i="4"/>
  <c r="G369" i="4"/>
  <c r="I368" i="4"/>
  <c r="K368" i="4" s="1"/>
  <c r="J368" i="4"/>
  <c r="G368" i="4"/>
  <c r="I367" i="4"/>
  <c r="K367" i="4" s="1"/>
  <c r="J367" i="4"/>
  <c r="G367" i="4"/>
  <c r="I338" i="4"/>
  <c r="K338" i="4" s="1"/>
  <c r="J338" i="4"/>
  <c r="G338" i="4"/>
  <c r="I289" i="4"/>
  <c r="K289" i="4" s="1"/>
  <c r="J289" i="4"/>
  <c r="G289" i="4"/>
  <c r="I288" i="4"/>
  <c r="K288" i="4" s="1"/>
  <c r="J288" i="4"/>
  <c r="G288" i="4"/>
  <c r="I313" i="4"/>
  <c r="K313" i="4" s="1"/>
  <c r="J313" i="4"/>
  <c r="G313" i="4"/>
  <c r="I302" i="4"/>
  <c r="K302" i="4" s="1"/>
  <c r="J302" i="4"/>
  <c r="G302" i="4"/>
  <c r="I301" i="4"/>
  <c r="K301" i="4" s="1"/>
  <c r="J301" i="4"/>
  <c r="G301" i="4"/>
  <c r="I390" i="4"/>
  <c r="K390" i="4" s="1"/>
  <c r="J390" i="4"/>
  <c r="G390" i="4"/>
  <c r="I377" i="4"/>
  <c r="K377" i="4" s="1"/>
  <c r="J377" i="4"/>
  <c r="G377" i="4"/>
  <c r="I287" i="4"/>
  <c r="K287" i="4" s="1"/>
  <c r="J287" i="4"/>
  <c r="G287" i="4"/>
  <c r="I300" i="4"/>
  <c r="K300" i="4" s="1"/>
  <c r="J300" i="4"/>
  <c r="G300" i="4"/>
  <c r="I337" i="4"/>
  <c r="K337" i="4" s="1"/>
  <c r="J337" i="4"/>
  <c r="G337" i="4"/>
  <c r="I376" i="4"/>
  <c r="K376" i="4" s="1"/>
  <c r="J376" i="4"/>
  <c r="G365" i="4"/>
  <c r="G366" i="4"/>
  <c r="G376" i="4"/>
  <c r="I366" i="4"/>
  <c r="K366" i="4" s="1"/>
  <c r="J366" i="4"/>
  <c r="I365" i="4"/>
  <c r="K365" i="4" s="1"/>
  <c r="J365" i="4"/>
  <c r="I336" i="4"/>
  <c r="K336" i="4" s="1"/>
  <c r="J336" i="4"/>
  <c r="G336" i="4"/>
  <c r="I356" i="4"/>
  <c r="K356" i="4" s="1"/>
  <c r="J356" i="4"/>
  <c r="G356" i="4"/>
  <c r="I314" i="4"/>
  <c r="K314" i="4" s="1"/>
  <c r="J314" i="4"/>
  <c r="G314" i="4"/>
  <c r="I384" i="4"/>
  <c r="K384" i="4" s="1"/>
  <c r="J384" i="4"/>
  <c r="G384" i="4"/>
  <c r="I353" i="4"/>
  <c r="K353" i="4" s="1"/>
  <c r="J353" i="4"/>
  <c r="G353" i="4"/>
  <c r="I375" i="4"/>
  <c r="K375" i="4" s="1"/>
  <c r="J375" i="4"/>
  <c r="G375" i="4"/>
  <c r="I387" i="4"/>
  <c r="K387" i="4" s="1"/>
  <c r="J387" i="4"/>
  <c r="G387" i="4"/>
  <c r="I328" i="4"/>
  <c r="K328" i="4" s="1"/>
  <c r="J328" i="4"/>
  <c r="G328" i="4"/>
  <c r="I341" i="4"/>
  <c r="K341" i="4" s="1"/>
  <c r="J341" i="4"/>
  <c r="G341" i="4"/>
  <c r="I397" i="4"/>
  <c r="K397" i="4" s="1"/>
  <c r="J397" i="4"/>
  <c r="G397" i="4"/>
  <c r="I364" i="4"/>
  <c r="K364" i="4" s="1"/>
  <c r="J364" i="4"/>
  <c r="G364" i="4"/>
  <c r="I299" i="4"/>
  <c r="K299" i="4" s="1"/>
  <c r="J299" i="4"/>
  <c r="G299" i="4"/>
  <c r="I298" i="4"/>
  <c r="K298" i="4" s="1"/>
  <c r="J298" i="4"/>
  <c r="G298" i="4"/>
  <c r="I355" i="4"/>
  <c r="K355" i="4" s="1"/>
  <c r="J355" i="4"/>
  <c r="G355" i="4"/>
  <c r="I363" i="4"/>
  <c r="K363" i="4" s="1"/>
  <c r="J363" i="4"/>
  <c r="G363" i="4"/>
  <c r="I344" i="4"/>
  <c r="K344" i="4" s="1"/>
  <c r="J344" i="4"/>
  <c r="G344" i="4"/>
  <c r="I357" i="4"/>
  <c r="K357" i="4" s="1"/>
  <c r="J357" i="4"/>
  <c r="G357" i="4"/>
  <c r="I386" i="4"/>
  <c r="K386" i="4" s="1"/>
  <c r="J386" i="4"/>
  <c r="G386" i="4"/>
  <c r="I381" i="4"/>
  <c r="K381" i="4" s="1"/>
  <c r="J381" i="4"/>
  <c r="G381" i="4"/>
  <c r="I297" i="4"/>
  <c r="K297" i="4" s="1"/>
  <c r="J297" i="4"/>
  <c r="G297" i="4"/>
  <c r="I296" i="4"/>
  <c r="K296" i="4" s="1"/>
  <c r="J296" i="4"/>
  <c r="G296" i="4"/>
  <c r="I295" i="4"/>
  <c r="K295" i="4" s="1"/>
  <c r="J295" i="4"/>
  <c r="G295" i="4"/>
  <c r="I318" i="4"/>
  <c r="K318" i="4" s="1"/>
  <c r="J318" i="4"/>
  <c r="G318" i="4"/>
  <c r="I333" i="4"/>
  <c r="K333" i="4" s="1"/>
  <c r="J333" i="4"/>
  <c r="G333" i="4"/>
  <c r="I286" i="4"/>
  <c r="K286" i="4" s="1"/>
  <c r="J286" i="4"/>
  <c r="G286" i="4"/>
  <c r="I335" i="4"/>
  <c r="K335" i="4" s="1"/>
  <c r="J335" i="4"/>
  <c r="G335" i="4"/>
  <c r="J312" i="4"/>
  <c r="J360" i="4"/>
  <c r="J317" i="4"/>
  <c r="J361" i="4"/>
  <c r="J385" i="4"/>
  <c r="J320" i="4"/>
  <c r="J362" i="4"/>
  <c r="J400" i="4"/>
  <c r="J351" i="4"/>
  <c r="J327" i="4"/>
  <c r="J321" i="4"/>
  <c r="J401" i="4"/>
  <c r="J349" i="4"/>
  <c r="J285" i="4"/>
  <c r="I285" i="4"/>
  <c r="K285" i="4" s="1"/>
  <c r="I349" i="4"/>
  <c r="K349" i="4" s="1"/>
  <c r="G349" i="4"/>
  <c r="I401" i="4"/>
  <c r="K401" i="4" s="1"/>
  <c r="G401" i="4"/>
  <c r="I321" i="4"/>
  <c r="K321" i="4" s="1"/>
  <c r="G321" i="4"/>
  <c r="I327" i="4"/>
  <c r="K327" i="4" s="1"/>
  <c r="G327" i="4"/>
  <c r="I351" i="4"/>
  <c r="K351" i="4" s="1"/>
  <c r="G351" i="4"/>
  <c r="I400" i="4"/>
  <c r="K400" i="4" s="1"/>
  <c r="G360" i="4"/>
  <c r="G317" i="4"/>
  <c r="G361" i="4"/>
  <c r="G385" i="4"/>
  <c r="G320" i="4"/>
  <c r="G362" i="4"/>
  <c r="G400" i="4"/>
  <c r="I362" i="4"/>
  <c r="K362" i="4" s="1"/>
  <c r="I320" i="4"/>
  <c r="K320" i="4" s="1"/>
  <c r="I361" i="4"/>
  <c r="K361" i="4" s="1"/>
  <c r="I385" i="4"/>
  <c r="K385" i="4" s="1"/>
  <c r="I317" i="4"/>
  <c r="K317" i="4" s="1"/>
  <c r="I360" i="4"/>
  <c r="K360" i="4" s="1"/>
  <c r="I312" i="4"/>
  <c r="K312" i="4" s="1"/>
  <c r="G312" i="4"/>
  <c r="G285" i="4"/>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M146" i="3"/>
  <c r="M145" i="3"/>
  <c r="M144" i="3"/>
  <c r="M143" i="3"/>
  <c r="M142" i="3"/>
  <c r="M141" i="3"/>
  <c r="G144" i="3"/>
  <c r="G148" i="3"/>
  <c r="G145" i="3"/>
  <c r="G141" i="3"/>
  <c r="G143" i="3"/>
  <c r="G142" i="3"/>
  <c r="G147" i="3"/>
  <c r="G146" i="3"/>
  <c r="V339" i="2"/>
  <c r="V338" i="2"/>
  <c r="G167" i="2"/>
  <c r="I167" i="2" s="1"/>
  <c r="G166" i="2"/>
  <c r="I166" i="2" s="1"/>
  <c r="G165" i="2"/>
  <c r="I165" i="2" s="1"/>
  <c r="G164" i="2"/>
  <c r="I164" i="2" s="1"/>
  <c r="G158" i="2"/>
  <c r="I158" i="2" s="1"/>
  <c r="G157" i="2"/>
  <c r="I157" i="2" s="1"/>
  <c r="G156" i="2"/>
  <c r="I156" i="2" s="1"/>
  <c r="G163" i="2"/>
  <c r="I163" i="2" s="1"/>
  <c r="G162" i="2"/>
  <c r="I162" i="2" s="1"/>
  <c r="G161" i="2"/>
  <c r="I161" i="2" s="1"/>
  <c r="G154" i="2"/>
  <c r="I154" i="2" s="1"/>
  <c r="G153" i="2"/>
  <c r="I153" i="2" s="1"/>
  <c r="G152" i="2"/>
  <c r="I152" i="2" s="1"/>
  <c r="G151" i="2"/>
  <c r="I151" i="2" s="1"/>
  <c r="G160" i="2"/>
  <c r="I160" i="2" s="1"/>
  <c r="G159" i="2"/>
  <c r="I159" i="2" s="1"/>
  <c r="G150" i="2"/>
  <c r="I150" i="2" s="1"/>
  <c r="G149" i="2"/>
  <c r="I149" i="2" s="1"/>
  <c r="G148" i="2"/>
  <c r="I148" i="2" s="1"/>
  <c r="G147" i="2"/>
  <c r="I147" i="2" s="1"/>
  <c r="G146" i="2"/>
  <c r="I146" i="2" s="1"/>
  <c r="G145" i="2"/>
  <c r="I145" i="2" s="1"/>
  <c r="G144" i="2"/>
  <c r="I144" i="2" s="1"/>
  <c r="G155" i="2"/>
  <c r="I155" i="2" s="1"/>
  <c r="G142" i="2"/>
  <c r="I142" i="2" s="1"/>
  <c r="G141" i="2"/>
  <c r="I141" i="2" s="1"/>
  <c r="G140" i="2"/>
  <c r="I140" i="2" s="1"/>
  <c r="G139" i="2"/>
  <c r="I139" i="2" s="1"/>
  <c r="G138" i="2"/>
  <c r="I138" i="2" s="1"/>
  <c r="G137" i="2"/>
  <c r="I137" i="2" s="1"/>
  <c r="G136" i="2"/>
  <c r="I136" i="2" s="1"/>
  <c r="G135" i="2"/>
  <c r="I135" i="2" s="1"/>
  <c r="G133" i="2"/>
  <c r="I133" i="2" s="1"/>
  <c r="G132" i="2"/>
  <c r="I132" i="2" s="1"/>
  <c r="G131" i="2"/>
  <c r="I131" i="2" s="1"/>
  <c r="G143" i="2"/>
  <c r="I143" i="2" s="1"/>
  <c r="G130" i="2"/>
  <c r="I130" i="2" s="1"/>
  <c r="G129" i="2"/>
  <c r="I129" i="2" s="1"/>
  <c r="G128" i="2"/>
  <c r="I128" i="2" s="1"/>
  <c r="G134" i="2"/>
  <c r="I134" i="2" s="1"/>
  <c r="G127" i="2"/>
  <c r="I127" i="2" s="1"/>
  <c r="G125" i="2"/>
  <c r="I125" i="2" s="1"/>
  <c r="G126" i="2"/>
  <c r="I126" i="2" s="1"/>
  <c r="G124" i="2"/>
  <c r="I124" i="2" s="1"/>
  <c r="J124" i="2" s="1"/>
  <c r="R148" i="4" l="1"/>
  <c r="R103" i="4"/>
  <c r="R87" i="4"/>
  <c r="R136" i="4"/>
  <c r="R79" i="4"/>
  <c r="R144" i="4"/>
  <c r="R80" i="4"/>
  <c r="R135" i="4"/>
  <c r="R68" i="4"/>
  <c r="R116" i="4"/>
  <c r="R52" i="4"/>
  <c r="R112" i="4"/>
  <c r="R48" i="4"/>
  <c r="R104" i="4"/>
  <c r="R44" i="4"/>
  <c r="R108" i="4"/>
  <c r="R64" i="4"/>
  <c r="R128" i="4"/>
  <c r="R96" i="4"/>
  <c r="R152" i="4"/>
  <c r="R127" i="4"/>
  <c r="R92" i="4"/>
  <c r="R60" i="4"/>
  <c r="R132" i="4"/>
  <c r="R63" i="4"/>
  <c r="R151" i="4"/>
  <c r="R120" i="4"/>
  <c r="R88" i="4"/>
  <c r="R56" i="4"/>
  <c r="R100" i="4"/>
  <c r="R84" i="4"/>
  <c r="R76" i="4"/>
  <c r="R153" i="4"/>
  <c r="R145" i="4"/>
  <c r="R137" i="4"/>
  <c r="R129" i="4"/>
  <c r="R121" i="4"/>
  <c r="R113" i="4"/>
  <c r="R105" i="4"/>
  <c r="R97" i="4"/>
  <c r="R89" i="4"/>
  <c r="R81" i="4"/>
  <c r="R73" i="4"/>
  <c r="R65" i="4"/>
  <c r="R57" i="4"/>
  <c r="R49" i="4"/>
  <c r="R41" i="4"/>
  <c r="R40" i="4"/>
  <c r="R39" i="4"/>
  <c r="R72" i="4"/>
  <c r="R143" i="4"/>
  <c r="R119" i="4"/>
  <c r="R111" i="4"/>
  <c r="R95" i="4"/>
  <c r="R71" i="4"/>
  <c r="R47" i="4"/>
  <c r="R150" i="4"/>
  <c r="R142" i="4"/>
  <c r="R134" i="4"/>
  <c r="R126" i="4"/>
  <c r="R118" i="4"/>
  <c r="R110" i="4"/>
  <c r="R102" i="4"/>
  <c r="R94" i="4"/>
  <c r="R86" i="4"/>
  <c r="R78" i="4"/>
  <c r="R70" i="4"/>
  <c r="R62" i="4"/>
  <c r="R54" i="4"/>
  <c r="R46" i="4"/>
  <c r="R38" i="4"/>
  <c r="R55" i="4"/>
  <c r="R149" i="4"/>
  <c r="R141" i="4"/>
  <c r="R133" i="4"/>
  <c r="R125" i="4"/>
  <c r="R117" i="4"/>
  <c r="R109" i="4"/>
  <c r="R101" i="4"/>
  <c r="R93" i="4"/>
  <c r="R85" i="4"/>
  <c r="R77" i="4"/>
  <c r="R69" i="4"/>
  <c r="R61" i="4"/>
  <c r="R53" i="4"/>
  <c r="R45" i="4"/>
  <c r="R37" i="4"/>
  <c r="R36" i="4"/>
  <c r="R140" i="4"/>
  <c r="R124" i="4"/>
  <c r="R147" i="4"/>
  <c r="R139" i="4"/>
  <c r="R131" i="4"/>
  <c r="R123" i="4"/>
  <c r="R115" i="4"/>
  <c r="R107" i="4"/>
  <c r="R99" i="4"/>
  <c r="R91" i="4"/>
  <c r="R83" i="4"/>
  <c r="R75" i="4"/>
  <c r="R67" i="4"/>
  <c r="R59" i="4"/>
  <c r="R51" i="4"/>
  <c r="R43" i="4"/>
  <c r="R35" i="4"/>
  <c r="R33" i="4"/>
  <c r="R146" i="4"/>
  <c r="R138" i="4"/>
  <c r="R130" i="4"/>
  <c r="R122" i="4"/>
  <c r="R114" i="4"/>
  <c r="R106" i="4"/>
  <c r="R98" i="4"/>
  <c r="R90" i="4"/>
  <c r="R82" i="4"/>
  <c r="R74" i="4"/>
  <c r="R66" i="4"/>
  <c r="R58" i="4"/>
  <c r="R50" i="4"/>
  <c r="R42" i="4"/>
  <c r="R34" i="4"/>
  <c r="H229" i="3"/>
  <c r="H237" i="3"/>
  <c r="H233" i="3"/>
  <c r="H217" i="3"/>
  <c r="H228" i="3"/>
  <c r="H221" i="3"/>
  <c r="H215" i="3"/>
  <c r="H201" i="3"/>
  <c r="H170" i="3"/>
  <c r="H162" i="3"/>
  <c r="H154" i="3"/>
  <c r="H223" i="3"/>
  <c r="H240" i="3"/>
  <c r="H227" i="3"/>
  <c r="H208" i="3"/>
  <c r="H149" i="3"/>
  <c r="H241" i="3"/>
  <c r="H209" i="3"/>
  <c r="H195" i="3"/>
  <c r="H179" i="3"/>
  <c r="H155" i="3"/>
  <c r="H239" i="3"/>
  <c r="H220" i="3"/>
  <c r="H213" i="3"/>
  <c r="H207" i="3"/>
  <c r="H200" i="3"/>
  <c r="H192" i="3"/>
  <c r="H184" i="3"/>
  <c r="H176" i="3"/>
  <c r="H168" i="3"/>
  <c r="H160" i="3"/>
  <c r="H152" i="3"/>
  <c r="H236" i="3"/>
  <c r="H203" i="3"/>
  <c r="H196" i="3"/>
  <c r="H188" i="3"/>
  <c r="H180" i="3"/>
  <c r="H172" i="3"/>
  <c r="H164" i="3"/>
  <c r="H156" i="3"/>
  <c r="H235" i="3"/>
  <c r="H216" i="3"/>
  <c r="H187" i="3"/>
  <c r="H171" i="3"/>
  <c r="H163" i="3"/>
  <c r="H232" i="3"/>
  <c r="H225" i="3"/>
  <c r="H219" i="3"/>
  <c r="H199" i="3"/>
  <c r="H191" i="3"/>
  <c r="H183" i="3"/>
  <c r="H175" i="3"/>
  <c r="H167" i="3"/>
  <c r="H159" i="3"/>
  <c r="H151" i="3"/>
  <c r="H244" i="3"/>
  <c r="H231" i="3"/>
  <c r="H212" i="3"/>
  <c r="H166" i="3"/>
  <c r="H158" i="3"/>
  <c r="H150" i="3"/>
  <c r="H243" i="3"/>
  <c r="H224" i="3"/>
  <c r="H211" i="3"/>
  <c r="H204" i="3"/>
  <c r="H178" i="3"/>
  <c r="H197" i="3"/>
  <c r="H177" i="3"/>
  <c r="H181" i="3"/>
  <c r="H174" i="3"/>
  <c r="H242" i="3"/>
  <c r="H238" i="3"/>
  <c r="H234" i="3"/>
  <c r="H230" i="3"/>
  <c r="H226" i="3"/>
  <c r="H222" i="3"/>
  <c r="H218" i="3"/>
  <c r="H214" i="3"/>
  <c r="H210" i="3"/>
  <c r="H206" i="3"/>
  <c r="H202" i="3"/>
  <c r="H198" i="3"/>
  <c r="H194" i="3"/>
  <c r="H190" i="3"/>
  <c r="H186" i="3"/>
  <c r="H182" i="3"/>
  <c r="H205" i="3"/>
  <c r="H193" i="3"/>
  <c r="H189" i="3"/>
  <c r="H185" i="3"/>
  <c r="H173" i="3"/>
  <c r="H169" i="3"/>
  <c r="H165" i="3"/>
  <c r="H161" i="3"/>
  <c r="H157" i="3"/>
  <c r="H153" i="3"/>
  <c r="P146" i="3"/>
  <c r="P145" i="3"/>
  <c r="P141" i="3"/>
  <c r="P143" i="3"/>
  <c r="P144" i="3"/>
  <c r="P142" i="3"/>
  <c r="H143" i="3"/>
  <c r="H144" i="3"/>
  <c r="H147" i="3"/>
  <c r="H146" i="3"/>
  <c r="H145" i="3"/>
  <c r="H141" i="3"/>
  <c r="H148" i="3"/>
  <c r="H142" i="3"/>
  <c r="J155" i="2"/>
  <c r="J125" i="2"/>
  <c r="J165" i="2"/>
  <c r="J129" i="2"/>
  <c r="J132" i="2"/>
  <c r="J137" i="2"/>
  <c r="J141" i="2"/>
  <c r="J127" i="2"/>
  <c r="J145" i="2"/>
  <c r="J149" i="2"/>
  <c r="J151" i="2"/>
  <c r="J161" i="2"/>
  <c r="J157" i="2"/>
  <c r="J166" i="2"/>
  <c r="J128" i="2"/>
  <c r="J133" i="2"/>
  <c r="J138" i="2"/>
  <c r="J142" i="2"/>
  <c r="J154" i="2"/>
  <c r="J146" i="2"/>
  <c r="J150" i="2"/>
  <c r="J152" i="2"/>
  <c r="J162" i="2"/>
  <c r="J158" i="2"/>
  <c r="J167" i="2"/>
  <c r="J134" i="2"/>
  <c r="J143" i="2"/>
  <c r="J139" i="2"/>
  <c r="J147" i="2"/>
  <c r="J153" i="2"/>
  <c r="J164" i="2"/>
  <c r="J135" i="2"/>
  <c r="J159" i="2"/>
  <c r="J163" i="2"/>
  <c r="J130" i="2"/>
  <c r="J156" i="2"/>
  <c r="J136" i="2"/>
  <c r="J160" i="2"/>
  <c r="J144" i="2"/>
  <c r="J126" i="2"/>
  <c r="J131" i="2"/>
  <c r="J140" i="2"/>
  <c r="J148" i="2"/>
  <c r="Q143" i="3" l="1"/>
  <c r="Q144" i="3"/>
  <c r="Q145" i="3"/>
  <c r="Q142" i="3"/>
  <c r="Q141" i="3"/>
  <c r="Q146" i="3"/>
</calcChain>
</file>

<file path=xl/sharedStrings.xml><?xml version="1.0" encoding="utf-8"?>
<sst xmlns="http://schemas.openxmlformats.org/spreadsheetml/2006/main" count="4794" uniqueCount="1863">
  <si>
    <t>SURVIVOR (CBS) Data Analytics</t>
  </si>
  <si>
    <r>
      <t xml:space="preserve">This project is an inspired work that delves into specific statistics presented by the CBS show </t>
    </r>
    <r>
      <rPr>
        <b/>
        <i/>
        <sz val="11"/>
        <color theme="1"/>
        <rFont val="Calibri"/>
        <family val="2"/>
        <scheme val="minor"/>
      </rPr>
      <t>Survivor</t>
    </r>
    <r>
      <rPr>
        <b/>
        <sz val="11"/>
        <color theme="1"/>
        <rFont val="Calibri"/>
        <family val="2"/>
        <scheme val="minor"/>
      </rPr>
      <t>. It involves easy navigation and concurrent data measurements for each season of the show. Further explanation of individual subprojects can be found on their respective pages.</t>
    </r>
  </si>
  <si>
    <t>Voting Accuracy Analytics</t>
  </si>
  <si>
    <t>Current List of Survivor Winners</t>
  </si>
  <si>
    <t>1. Richard Hatch</t>
  </si>
  <si>
    <t>2. Tina Wesson</t>
  </si>
  <si>
    <t>3. Ethan Zohn</t>
  </si>
  <si>
    <t>4. Vecepia Townsend</t>
  </si>
  <si>
    <t>5. Brian Heidik</t>
  </si>
  <si>
    <t>6. Jenna Morasca</t>
  </si>
  <si>
    <t>7. Sandra Diaz-Twine</t>
  </si>
  <si>
    <t>9. Chris Daugherty</t>
  </si>
  <si>
    <t>10. Tom Westman</t>
  </si>
  <si>
    <t>11. Danni Boatwright</t>
  </si>
  <si>
    <t>12. Aras Baskauskas</t>
  </si>
  <si>
    <t>13. Yul Kwon</t>
  </si>
  <si>
    <t>14. Earl Cole</t>
  </si>
  <si>
    <t>15. Todd Herzog</t>
  </si>
  <si>
    <t>16. Parvati Shallow</t>
  </si>
  <si>
    <t>17. Bob Crowley</t>
  </si>
  <si>
    <t>18. J.T. Thomas</t>
  </si>
  <si>
    <t>19. Natalie White</t>
  </si>
  <si>
    <t>20. Sandra Diaz-Twine</t>
  </si>
  <si>
    <t>21. Jud Birza</t>
  </si>
  <si>
    <t>22. Rob Mariano</t>
  </si>
  <si>
    <t>23. Sophie Clarke</t>
  </si>
  <si>
    <t>25. Denise Stapley</t>
  </si>
  <si>
    <t>26. John Cochran</t>
  </si>
  <si>
    <t>27. Tyson Apostol</t>
  </si>
  <si>
    <t>28. Tony Vlachos</t>
  </si>
  <si>
    <t>29. Natalie Anderson</t>
  </si>
  <si>
    <t>30. Mike Holloway</t>
  </si>
  <si>
    <t>31. Jeremy Collins</t>
  </si>
  <si>
    <t>32. Michele Fitzgerald</t>
  </si>
  <si>
    <t>33. Adam Klein</t>
  </si>
  <si>
    <t>34. Sarah Lacina</t>
  </si>
  <si>
    <t>35. Ben Driebergen</t>
  </si>
  <si>
    <t>36. Wendell Holland</t>
  </si>
  <si>
    <t>37. Nick Wilson</t>
  </si>
  <si>
    <t>38. Chris Underwood</t>
  </si>
  <si>
    <t>39. Tommy Sheehan</t>
  </si>
  <si>
    <t>40. Tony Vlachos</t>
  </si>
  <si>
    <t>41. Erika Casupanan</t>
  </si>
  <si>
    <t>42. Maryanne Oketch</t>
  </si>
  <si>
    <t>43. Mike Gabler</t>
  </si>
  <si>
    <t>Richard Hatch</t>
  </si>
  <si>
    <t>Episode</t>
  </si>
  <si>
    <t>Vote</t>
  </si>
  <si>
    <t>Tina Wesson</t>
  </si>
  <si>
    <t>Ethan Zohn</t>
  </si>
  <si>
    <t>Vecepia Townsend</t>
  </si>
  <si>
    <t>Brian Heidik</t>
  </si>
  <si>
    <t>Jenna Morasca</t>
  </si>
  <si>
    <t>Sandra Diaz-Twine</t>
  </si>
  <si>
    <t>Chris Daugherty</t>
  </si>
  <si>
    <t>Tom Westman</t>
  </si>
  <si>
    <t>Danni Boatwright</t>
  </si>
  <si>
    <t>Aras Baskauskas</t>
  </si>
  <si>
    <t>Yul Kwon</t>
  </si>
  <si>
    <t>Earl Cole</t>
  </si>
  <si>
    <t>Todd Herzog</t>
  </si>
  <si>
    <t>Parvati Shallow</t>
  </si>
  <si>
    <t>Bob Crowley</t>
  </si>
  <si>
    <t>J.T. Thomas</t>
  </si>
  <si>
    <t>Natalie White</t>
  </si>
  <si>
    <t>Jud Birza</t>
  </si>
  <si>
    <t>Rob Mariano</t>
  </si>
  <si>
    <t>Sophie Clarke</t>
  </si>
  <si>
    <t>Denise Stapley</t>
  </si>
  <si>
    <t>John Cochran</t>
  </si>
  <si>
    <t>Tyson Apostol</t>
  </si>
  <si>
    <t>Tony Vlachos</t>
  </si>
  <si>
    <t>Natalie Anderson</t>
  </si>
  <si>
    <t>Mike Holloway</t>
  </si>
  <si>
    <t>Jeremy Collins</t>
  </si>
  <si>
    <t>Michele Fitzgerald</t>
  </si>
  <si>
    <t>Adam Klein</t>
  </si>
  <si>
    <t>Sarah Lacina</t>
  </si>
  <si>
    <t>Ben Driebergen</t>
  </si>
  <si>
    <t>Wendell Holland</t>
  </si>
  <si>
    <t>Nick Wilson</t>
  </si>
  <si>
    <t>Chris Underwood</t>
  </si>
  <si>
    <t>Tommy Sheehan</t>
  </si>
  <si>
    <t>Erika Casupanan</t>
  </si>
  <si>
    <t>Maryanne Oketch</t>
  </si>
  <si>
    <t>Mike Gabler</t>
  </si>
  <si>
    <t>Stacey</t>
  </si>
  <si>
    <t>X</t>
  </si>
  <si>
    <t>Dirk</t>
  </si>
  <si>
    <t>Gretchen</t>
  </si>
  <si>
    <t>Greg</t>
  </si>
  <si>
    <t>Jenna</t>
  </si>
  <si>
    <t>Gervase</t>
  </si>
  <si>
    <t>Colleen</t>
  </si>
  <si>
    <t>Sean</t>
  </si>
  <si>
    <t>Voting Strips by Season Winner - X = Tribal Not Attended, x + x = Extra Vote Played, (x, x) = Revote In Action, XX = Vote Blocked/Stolen/Not Allowed To Vote, x - x = Voted At Two Tribals In One Episode</t>
  </si>
  <si>
    <t>Kel</t>
  </si>
  <si>
    <t>Maralyn</t>
  </si>
  <si>
    <t>Mitchell, Mitchell</t>
  </si>
  <si>
    <t>Jeff, Jeff</t>
  </si>
  <si>
    <t>Alicia</t>
  </si>
  <si>
    <t>Jerri</t>
  </si>
  <si>
    <t>Nick</t>
  </si>
  <si>
    <t>Amber</t>
  </si>
  <si>
    <t>Rodger</t>
  </si>
  <si>
    <t>Elisabeth</t>
  </si>
  <si>
    <t>Diane</t>
  </si>
  <si>
    <t>Jessie</t>
  </si>
  <si>
    <t>Silas</t>
  </si>
  <si>
    <t>Clarence</t>
  </si>
  <si>
    <t>Kelly</t>
  </si>
  <si>
    <t>Brandon</t>
  </si>
  <si>
    <t>Frank</t>
  </si>
  <si>
    <t>Kim P.</t>
  </si>
  <si>
    <t>Teresa</t>
  </si>
  <si>
    <t>Sarah</t>
  </si>
  <si>
    <t>Patricia</t>
  </si>
  <si>
    <t>Hunter</t>
  </si>
  <si>
    <t>Gabriel</t>
  </si>
  <si>
    <t>Rob</t>
  </si>
  <si>
    <t>John</t>
  </si>
  <si>
    <t>Zoe</t>
  </si>
  <si>
    <t>Tammy</t>
  </si>
  <si>
    <t>Robert</t>
  </si>
  <si>
    <t>Neleh</t>
  </si>
  <si>
    <t>Susan, XX - XX</t>
  </si>
  <si>
    <t>XX</t>
  </si>
  <si>
    <t>Tom - XX</t>
  </si>
  <si>
    <t>Neleh - XX</t>
  </si>
  <si>
    <t>Tanya</t>
  </si>
  <si>
    <t>Ghandia</t>
  </si>
  <si>
    <t>Ken</t>
  </si>
  <si>
    <t>Penny</t>
  </si>
  <si>
    <t>Jake</t>
  </si>
  <si>
    <t>Ted</t>
  </si>
  <si>
    <t>Helen - Jan</t>
  </si>
  <si>
    <t>Janet</t>
  </si>
  <si>
    <t>JoAnna</t>
  </si>
  <si>
    <t>Shawna</t>
  </si>
  <si>
    <t>Dave</t>
  </si>
  <si>
    <t>Deena</t>
  </si>
  <si>
    <t>Alex</t>
  </si>
  <si>
    <t>Christy</t>
  </si>
  <si>
    <t>Heidi</t>
  </si>
  <si>
    <t>Butch - Rob</t>
  </si>
  <si>
    <t>Burton</t>
  </si>
  <si>
    <t>Michelle</t>
  </si>
  <si>
    <t>Trish</t>
  </si>
  <si>
    <t>Shawn</t>
  </si>
  <si>
    <t>Andrew</t>
  </si>
  <si>
    <t>Ryan O.</t>
  </si>
  <si>
    <t>Rupert</t>
  </si>
  <si>
    <t>Tijuana</t>
  </si>
  <si>
    <t>Jon</t>
  </si>
  <si>
    <t>Lillian</t>
  </si>
  <si>
    <t>Darrah - XX</t>
  </si>
  <si>
    <t>Rob C.</t>
  </si>
  <si>
    <t>Lex</t>
  </si>
  <si>
    <t>Kathy</t>
  </si>
  <si>
    <t>Shii Ann</t>
  </si>
  <si>
    <t>Tom</t>
  </si>
  <si>
    <t>Rupert - XX</t>
  </si>
  <si>
    <t>Brook</t>
  </si>
  <si>
    <t>John P.</t>
  </si>
  <si>
    <t>Brady</t>
  </si>
  <si>
    <t>John K.</t>
  </si>
  <si>
    <t>Ami</t>
  </si>
  <si>
    <t>Sarge</t>
  </si>
  <si>
    <t>Eliza</t>
  </si>
  <si>
    <t>Leann</t>
  </si>
  <si>
    <t>Julie</t>
  </si>
  <si>
    <t>Eliza - Scout</t>
  </si>
  <si>
    <t>Willard</t>
  </si>
  <si>
    <t>Coby</t>
  </si>
  <si>
    <t>Stephenie</t>
  </si>
  <si>
    <t>Gregg</t>
  </si>
  <si>
    <t>Caryn</t>
  </si>
  <si>
    <t>Ian, Ian - Ian</t>
  </si>
  <si>
    <t>Jim</t>
  </si>
  <si>
    <t>Blake</t>
  </si>
  <si>
    <t>Brian</t>
  </si>
  <si>
    <t>Amy</t>
  </si>
  <si>
    <t>Jamie</t>
  </si>
  <si>
    <t>Gary</t>
  </si>
  <si>
    <t>Judd</t>
  </si>
  <si>
    <t>Cindy</t>
  </si>
  <si>
    <t>Lydia - Rafe</t>
  </si>
  <si>
    <t>Melinda</t>
  </si>
  <si>
    <t>Bruce</t>
  </si>
  <si>
    <t>Austin</t>
  </si>
  <si>
    <t>Sally</t>
  </si>
  <si>
    <t>Courtney</t>
  </si>
  <si>
    <t>Shane</t>
  </si>
  <si>
    <t>Danielle - XX</t>
  </si>
  <si>
    <t>Cecilia</t>
  </si>
  <si>
    <t>Cao Boi</t>
  </si>
  <si>
    <t>Jessica</t>
  </si>
  <si>
    <t>Nate</t>
  </si>
  <si>
    <t>Candice</t>
  </si>
  <si>
    <t>Jonathan</t>
  </si>
  <si>
    <t>Parvati</t>
  </si>
  <si>
    <t>Adam - Sundra</t>
  </si>
  <si>
    <t>Sylvia</t>
  </si>
  <si>
    <t>Rita</t>
  </si>
  <si>
    <t>Edgardo</t>
  </si>
  <si>
    <t>Stacy</t>
  </si>
  <si>
    <t>Boo - Yau-Man</t>
  </si>
  <si>
    <t>Leslie</t>
  </si>
  <si>
    <t>Sherea</t>
  </si>
  <si>
    <t>Jaime</t>
  </si>
  <si>
    <t>Jean-Robert</t>
  </si>
  <si>
    <t>Frosti</t>
  </si>
  <si>
    <t>James</t>
  </si>
  <si>
    <t>Erik</t>
  </si>
  <si>
    <t>Peih-Gee</t>
  </si>
  <si>
    <t>Denise</t>
  </si>
  <si>
    <t>Yau-Man</t>
  </si>
  <si>
    <t>Ozzy</t>
  </si>
  <si>
    <t>Jason</t>
  </si>
  <si>
    <t>Alexis</t>
  </si>
  <si>
    <t>Natalie - XX</t>
  </si>
  <si>
    <t>Paloma</t>
  </si>
  <si>
    <t>Dan</t>
  </si>
  <si>
    <t>Crystal</t>
  </si>
  <si>
    <t>Susie</t>
  </si>
  <si>
    <t>Matty</t>
  </si>
  <si>
    <t>Ken - Matty</t>
  </si>
  <si>
    <t>Carolina</t>
  </si>
  <si>
    <t>Sandy</t>
  </si>
  <si>
    <t>Spencer</t>
  </si>
  <si>
    <t>Sydney</t>
  </si>
  <si>
    <t>Sierra</t>
  </si>
  <si>
    <t>Tyson</t>
  </si>
  <si>
    <t>Debbie</t>
  </si>
  <si>
    <t>Erinn</t>
  </si>
  <si>
    <t>Taj - Erinn</t>
  </si>
  <si>
    <t>Marisa</t>
  </si>
  <si>
    <t>Betsy</t>
  </si>
  <si>
    <t>Ben</t>
  </si>
  <si>
    <t>Ashley</t>
  </si>
  <si>
    <t>Liz</t>
  </si>
  <si>
    <t>Laura, XX</t>
  </si>
  <si>
    <t>Dave - Monica</t>
  </si>
  <si>
    <t>Shambo</t>
  </si>
  <si>
    <t>Jaison - Brett</t>
  </si>
  <si>
    <t>Randy</t>
  </si>
  <si>
    <t>Russell</t>
  </si>
  <si>
    <t>Coach</t>
  </si>
  <si>
    <t>J.T.</t>
  </si>
  <si>
    <t>Amanda</t>
  </si>
  <si>
    <t>Candice - Rupert</t>
  </si>
  <si>
    <t>Colby - Jerri</t>
  </si>
  <si>
    <t>Brenda</t>
  </si>
  <si>
    <t>Kelly B., Kelly B.</t>
  </si>
  <si>
    <t>Marty</t>
  </si>
  <si>
    <t>Alina</t>
  </si>
  <si>
    <t>Holly</t>
  </si>
  <si>
    <t>Jane</t>
  </si>
  <si>
    <t>Dan - Holly</t>
  </si>
  <si>
    <t>Francesca</t>
  </si>
  <si>
    <t>Matt</t>
  </si>
  <si>
    <t>Phillip</t>
  </si>
  <si>
    <t>Mike - David</t>
  </si>
  <si>
    <t>Ralph - Steve</t>
  </si>
  <si>
    <t>Andrea</t>
  </si>
  <si>
    <t>Grant</t>
  </si>
  <si>
    <t>Andrea - Ashley</t>
  </si>
  <si>
    <t>Edna</t>
  </si>
  <si>
    <t>Keith, Keith</t>
  </si>
  <si>
    <t>Ozzy - Jim</t>
  </si>
  <si>
    <t>Dawn - Whitney</t>
  </si>
  <si>
    <t>Cochran</t>
  </si>
  <si>
    <t>Rick - Ozzy</t>
  </si>
  <si>
    <t>Nina</t>
  </si>
  <si>
    <t>Jonas</t>
  </si>
  <si>
    <t>Michael</t>
  </si>
  <si>
    <t>Jay</t>
  </si>
  <si>
    <t>Tarzan</t>
  </si>
  <si>
    <t>Troyzan</t>
  </si>
  <si>
    <t>Alicia - Christina</t>
  </si>
  <si>
    <t>Zane</t>
  </si>
  <si>
    <t>Roxy</t>
  </si>
  <si>
    <t>Angie</t>
  </si>
  <si>
    <t>Dawson</t>
  </si>
  <si>
    <t>Pete</t>
  </si>
  <si>
    <t>Artis</t>
  </si>
  <si>
    <t>Abi-Maria</t>
  </si>
  <si>
    <t>Carter</t>
  </si>
  <si>
    <t>Malcolm</t>
  </si>
  <si>
    <t>Michael, Julia</t>
  </si>
  <si>
    <t>Corinne</t>
  </si>
  <si>
    <t>Malcolm, Malcolm</t>
  </si>
  <si>
    <t>Eddie - Eddie</t>
  </si>
  <si>
    <t>X - Eddie</t>
  </si>
  <si>
    <t>Laura M.</t>
  </si>
  <si>
    <t>Aras</t>
  </si>
  <si>
    <t>Vytas - Tina</t>
  </si>
  <si>
    <t>Caleb</t>
  </si>
  <si>
    <t>Hayden, Hayden</t>
  </si>
  <si>
    <t>Hayden</t>
  </si>
  <si>
    <t>Ciera - Tina</t>
  </si>
  <si>
    <t>Cliff</t>
  </si>
  <si>
    <t>Morgan</t>
  </si>
  <si>
    <t>LJ</t>
  </si>
  <si>
    <t>Jeremiah</t>
  </si>
  <si>
    <t>Jefra</t>
  </si>
  <si>
    <t>Tasha</t>
  </si>
  <si>
    <t>Spencer - XX</t>
  </si>
  <si>
    <t>Drew</t>
  </si>
  <si>
    <t>Josh</t>
  </si>
  <si>
    <t>Keith</t>
  </si>
  <si>
    <t>Reed</t>
  </si>
  <si>
    <t>Alec</t>
  </si>
  <si>
    <t>Jon, Jon</t>
  </si>
  <si>
    <t>Baylor - Keith</t>
  </si>
  <si>
    <t>Lindsey, Lindsey</t>
  </si>
  <si>
    <t>Joaquin</t>
  </si>
  <si>
    <t>Jenn</t>
  </si>
  <si>
    <t>Hali</t>
  </si>
  <si>
    <t>Joe</t>
  </si>
  <si>
    <t>Tyler</t>
  </si>
  <si>
    <t>Sierra - Rodney</t>
  </si>
  <si>
    <t>Monica</t>
  </si>
  <si>
    <t>Ciera</t>
  </si>
  <si>
    <t>Kelley</t>
  </si>
  <si>
    <t>Kelley, Kimmi - Keith - Kelley</t>
  </si>
  <si>
    <t>Tai</t>
  </si>
  <si>
    <t>Julia</t>
  </si>
  <si>
    <t>Aubry</t>
  </si>
  <si>
    <t>Figgy</t>
  </si>
  <si>
    <t>Taylor</t>
  </si>
  <si>
    <t>Chris - Zeke, Zeke</t>
  </si>
  <si>
    <t>Zeke</t>
  </si>
  <si>
    <t>Will - Sunday</t>
  </si>
  <si>
    <t>Jay - David - David</t>
  </si>
  <si>
    <t>Sandra</t>
  </si>
  <si>
    <t>Jeff</t>
  </si>
  <si>
    <t>Michaela - Ozzy</t>
  </si>
  <si>
    <t>Andrea - Michaela + Michaela</t>
  </si>
  <si>
    <t>Tai - Aubry - Tai</t>
  </si>
  <si>
    <t>Katrina</t>
  </si>
  <si>
    <t>Desi, Desi</t>
  </si>
  <si>
    <t>Cole</t>
  </si>
  <si>
    <t>Mike - Joe</t>
  </si>
  <si>
    <t>Lauren</t>
  </si>
  <si>
    <t>Devon, Devon</t>
  </si>
  <si>
    <t>Angela</t>
  </si>
  <si>
    <t>Chris</t>
  </si>
  <si>
    <t>Desiree</t>
  </si>
  <si>
    <t>Michael, Michael</t>
  </si>
  <si>
    <t>Chelsea</t>
  </si>
  <si>
    <t>Kellyn, Kellyn</t>
  </si>
  <si>
    <t>Sebastian - Donathan</t>
  </si>
  <si>
    <t>Natalie</t>
  </si>
  <si>
    <t>Lyrsa</t>
  </si>
  <si>
    <t>Elizabeth</t>
  </si>
  <si>
    <t>Dan + Dan</t>
  </si>
  <si>
    <t>Alec - Alison</t>
  </si>
  <si>
    <t>Christian</t>
  </si>
  <si>
    <t>Alison - Alison</t>
  </si>
  <si>
    <t>Reem</t>
  </si>
  <si>
    <t>Victoria - Lauren</t>
  </si>
  <si>
    <t>Molly</t>
  </si>
  <si>
    <t>Elaine</t>
  </si>
  <si>
    <t>Kellee - Jamal</t>
  </si>
  <si>
    <t>Missy</t>
  </si>
  <si>
    <t>Karishma</t>
  </si>
  <si>
    <t>Karishma, Elizabeth</t>
  </si>
  <si>
    <t>Kim</t>
  </si>
  <si>
    <t>Wendell</t>
  </si>
  <si>
    <t>Adam</t>
  </si>
  <si>
    <t>Sophie</t>
  </si>
  <si>
    <t>Jeremy - Nick</t>
  </si>
  <si>
    <t>Natalie, Denise - Michele</t>
  </si>
  <si>
    <t>Tiffany</t>
  </si>
  <si>
    <t>Naseer, Naseer</t>
  </si>
  <si>
    <t>Liana, Shan</t>
  </si>
  <si>
    <t>Liana</t>
  </si>
  <si>
    <t>Danny, Danny</t>
  </si>
  <si>
    <t>Ricard</t>
  </si>
  <si>
    <t>Marya</t>
  </si>
  <si>
    <t>Lydia</t>
  </si>
  <si>
    <t>Romeo</t>
  </si>
  <si>
    <t>Tori</t>
  </si>
  <si>
    <t>Hai</t>
  </si>
  <si>
    <t>Drea</t>
  </si>
  <si>
    <t>Omar + Omar</t>
  </si>
  <si>
    <t>Lindsay</t>
  </si>
  <si>
    <t>Morriah</t>
  </si>
  <si>
    <t>Elie</t>
  </si>
  <si>
    <t>Ryan</t>
  </si>
  <si>
    <t>Jeanine</t>
  </si>
  <si>
    <t>Noelle</t>
  </si>
  <si>
    <t>Sami</t>
  </si>
  <si>
    <t>Cody</t>
  </si>
  <si>
    <t>Karla</t>
  </si>
  <si>
    <t>Helen</t>
  </si>
  <si>
    <t>Frannie</t>
  </si>
  <si>
    <t>Kane</t>
  </si>
  <si>
    <t>Danny</t>
  </si>
  <si>
    <t>Tribals Attended</t>
  </si>
  <si>
    <t>Correct Votes at Tribal</t>
  </si>
  <si>
    <t>Votes In Minority at Tribal</t>
  </si>
  <si>
    <t>Votes in Majority at Tribal</t>
  </si>
  <si>
    <t>Voting Accuracy Statistics Per Player</t>
  </si>
  <si>
    <t>VAR - Voting Accuracy Record - Correct Votes/Tribals Attended</t>
  </si>
  <si>
    <t>Total Tribals in Season</t>
  </si>
  <si>
    <t>Tribals Attended That Winner Could Not Vote</t>
  </si>
  <si>
    <t>Name</t>
  </si>
  <si>
    <t>Comparative Ranking To Other Winners</t>
  </si>
  <si>
    <t>Average VAR</t>
  </si>
  <si>
    <t>VAR</t>
  </si>
  <si>
    <t>Gender</t>
  </si>
  <si>
    <t>M</t>
  </si>
  <si>
    <t>F</t>
  </si>
  <si>
    <t>Average Ranking</t>
  </si>
  <si>
    <t>Pivot Table Data</t>
  </si>
  <si>
    <t>Minority Votes</t>
  </si>
  <si>
    <t>Majority Votes</t>
  </si>
  <si>
    <t>Sum Of Votes</t>
  </si>
  <si>
    <t>Kim Spradlin</t>
  </si>
  <si>
    <t>Tony Vlachos (1)</t>
  </si>
  <si>
    <t>VAR Over Time Summary and Analysis</t>
  </si>
  <si>
    <t>Average of Comparative Ranking To Other Winners</t>
  </si>
  <si>
    <t>Comparative Ranking Of Winners - VAR - Summary And Analysis</t>
  </si>
  <si>
    <t>Analyzing Majority vs. Minority Votes Per Winner</t>
  </si>
  <si>
    <t>Sandra Diaz-Twine (1)</t>
  </si>
  <si>
    <t>VAR over time is the compiling of all winners chronologically throughout the course of SURVIVOR's history. Voting accuracy, or voting correctly at tribals attended, is a stellar way to observe the strength of a winner throughout their season and is a great indicator of how strong a winning game can be. There are outliers to the commond trend of this data, but it can be determined that as time went forwards, VAR has become a lot less volatile. In the first half of SURVIVOR's time on air, winner VAR is absurdly volatile. Winners like Heidik and Kwon both had perfect VAR's (meaning they never voted incorrectly their season) while winners like Townsend and Crowley had mediocre VAR's (meaning they voted incorrectly frequently.)
As time has progressed, winner VAR has become decreasingly volatile. While there are still hills and valleys to VAR (such as Casupanan on the high end and Fitzgerald on the low end), the margin between the maximum and minimum from Seasons 23-44 is 33%, compared to the margin for Seasons 1-22, being 44%.
There are multiple defined "eras" of SURVIVOR, so dividing the data by these eras might give us an idea of how important voting correctly was in that period of time.
Seasons 1 - 8 (First Era): Max = 100%, Min = 56%, Avg = 83%
Seasons 9 - 14 (Experimental Era): Max = 100%, Min = 67%, Avg = 85%
Seasons 15 - 20 (Golden Era): Max = 100%, Min = 56%, Avg = 84%
Seasons 21 - 26 (Dark Era): Max = 92%, Min = 60%, Avg = 80%
Seasons 27 - 32 (Big Moves Era): Max = 100%, Min = 67%, Avg = 80%
Seasons 33 - 40 (Advantage Era): Max = 89%, Min = 75%, Avg = 80%
Seasons 41 - 44 (New Era): Max = 93%, Min = 70%, Avg = 85%
As you can see, as time has gone on, on average, maximums have decreased and minimums have decreased, leading to a decreased error margin overall. The key note from the data above I want to highlight are the averages. Towards the first half of the show's runtime, averages were around 4% higher than the most recent seasons, save for the New Era.
As an objective viewpoint, I can conclude that because of the introduction of more themes, advantages, and twists into SURVIVOR from Seasons 21 - 40, VAR has been controlled to be decreasingly volatile with an alignment of vision from executives. As the game has expanded and become more inflated over time, voting accuracy has become a more dependent variable based on the casts and twists involved in that particular season. However, in the first 20 seasons, as well as the previous 4, VAR was incredibly volatile, implying that VAR served as more of an independent variable in those periods of time and truly was a factor in determining a winner.
To conclude, VAR, in the first 20 seasons and the most recent 4, was rather important to determining a winner, as voting close to perfectly - or rather, imperfectly - was a key strategy to potentially winning the game. In seasons 21 - 40, however, VAR became more dependent and didn't truly serve as a metric of winning SURVIVOR. As the New Era of SURVIVOR continues to trend towards being more of an older-era type of game contrasted to the middle seasons of the show, VAR is likely to continue to be a crucial component of a winning game, inferring that almost perfect voting or intentional, imperfect voting is a valid strategy to win the show.</t>
  </si>
  <si>
    <t>Analyzing Gender In Terms Of VAR</t>
  </si>
  <si>
    <t>Chart Data And Analysis - NOTE: Tony Vlachos (1) and Sandra Diaz-Twine (1) represent their first seasons, Cagayan and Pearl Islands respectively.</t>
  </si>
  <si>
    <t>Above VAR M</t>
  </si>
  <si>
    <t>Above VAR F</t>
  </si>
  <si>
    <t>Below VAR M</t>
  </si>
  <si>
    <t>Below VAR F</t>
  </si>
  <si>
    <t>While gender does not play a factor into a good VAR, it is interesting to take a look at how gender plays a role in winner VAR's. On the chart, there are four categories; an above average VAR for men, women, and a below average VAR for men and women. The average VAR is 84%. Since no one meets 84% exactly, every winner either falls above or below the average line.
Taking a look at the chart, men have a more volatile shift between the numbers for above and below average VAR's, being a 7% jump. Meanwhile, women have a shift of average VAR of 3%. While there are more male winners of the show, making up 61% of the winners to the women's 39%, the amount of male winners with a below average VAR make up more than a third of the current winners. The least populated category on the chart is the Above VAR Female, in comparison.
Since there is not a lot to determine from this chart and is rather self explanatory, let us introduce a hypothetical scenario where winners below the average VAR got pushed over the edge by one vote. What this means is that winners who are currently below the average VAR get a +1 bump in correct votes, potentially pushing them over the edge of the average line. The new winners exceeding the average because of this are:
Aras Bauskaskaus, Wendell Holland, Ben Driebergen, Natalie Anderson, Chris Underwood, Denise Stapley, Jenna Morasca, J.T. Thomas, Mike Holloway, Sandra Diaz-Twine (1), Danni Boatwright, Sarah Lacina, Adam Klein, Chris Daugherty.
This changes the chart drastically. The highest percentage is still Above VAR M, but is now at almost HALF of the winners of the show, at 45%. Only 7/27 winners that are male - in this scenario - are below average VAR. Meanwhile, Above VAR F is now at 30% over Below VAR F at 9%; only FOUR women fell below average VAR out of 17.
Gender only acts as a statistic that can be measured through using VAR, but is a good visualization to see a more divided outlook on winner statistics.</t>
  </si>
  <si>
    <t>This data sheet is primarily responsible for determining the voting accuracy of Survivor winners. Winners are compared by numerous measurements which are then implemented into various statistical models and charts. This data is used to determine the trends of voting accuracy for every winner of the show and determine any correlations in terms of winner voting accuracy. It uses multiple Excel functions such as data visualization, referencing, if, and math. This dataset is updated concurrently with every winner of the show and can be used at any time to determine how voting accuracy influences a winning game. Voting accuracy is defined as voting for the individual that went home that tribal council. For example; if A voted for B and B went home, A voted accurately. If A played an idol on B, voted for C, and C went home, A voted accurately. If A played an idol on B, voted for D, but C went home, A voted inaccurately.</t>
  </si>
  <si>
    <t>Main Alliances Per Season Of Survivor</t>
  </si>
  <si>
    <t>1. 2</t>
  </si>
  <si>
    <t>2. 2</t>
  </si>
  <si>
    <t>3. 3</t>
  </si>
  <si>
    <t>4. 3</t>
  </si>
  <si>
    <t>5. 2</t>
  </si>
  <si>
    <t>6. 2</t>
  </si>
  <si>
    <t>7. 3</t>
  </si>
  <si>
    <t>8. 2</t>
  </si>
  <si>
    <t>9. 3</t>
  </si>
  <si>
    <t>10. 1</t>
  </si>
  <si>
    <t>11. 2</t>
  </si>
  <si>
    <t>12. 2</t>
  </si>
  <si>
    <t>13. 2</t>
  </si>
  <si>
    <t>14. 2</t>
  </si>
  <si>
    <t>15. 2</t>
  </si>
  <si>
    <t>16. 3</t>
  </si>
  <si>
    <t>17. 2</t>
  </si>
  <si>
    <t>18. 3</t>
  </si>
  <si>
    <t>19. 2</t>
  </si>
  <si>
    <t>20. 3</t>
  </si>
  <si>
    <t>21. 3</t>
  </si>
  <si>
    <t>22. 3</t>
  </si>
  <si>
    <t>23. 2</t>
  </si>
  <si>
    <t>24. 3</t>
  </si>
  <si>
    <t>25. 4</t>
  </si>
  <si>
    <t>26. 3</t>
  </si>
  <si>
    <t>27. 3</t>
  </si>
  <si>
    <t>29. 2</t>
  </si>
  <si>
    <t>30. 2</t>
  </si>
  <si>
    <t>31. 2</t>
  </si>
  <si>
    <t>32. 2</t>
  </si>
  <si>
    <t>33. 4</t>
  </si>
  <si>
    <t>34. 2</t>
  </si>
  <si>
    <t>35. 3</t>
  </si>
  <si>
    <t>36. 2</t>
  </si>
  <si>
    <t>37. 2</t>
  </si>
  <si>
    <t>38. 2</t>
  </si>
  <si>
    <t>39. 2</t>
  </si>
  <si>
    <t>41. 3</t>
  </si>
  <si>
    <t>42. 2</t>
  </si>
  <si>
    <t>43. 2</t>
  </si>
  <si>
    <t>44. 3</t>
  </si>
  <si>
    <t>Alliance Information By Season</t>
  </si>
  <si>
    <t>BORNEO</t>
  </si>
  <si>
    <t>Tagi 4</t>
  </si>
  <si>
    <t>Members - 4</t>
  </si>
  <si>
    <t>Richard Hatch - 1st</t>
  </si>
  <si>
    <t>Kelly Wiglesworth - 2nd</t>
  </si>
  <si>
    <t>Rudy Boesch - 3rd</t>
  </si>
  <si>
    <t>Susan Hawk - 4th</t>
  </si>
  <si>
    <t>Barbeque Alliance</t>
  </si>
  <si>
    <t>Members - 3</t>
  </si>
  <si>
    <t>Colleen Haskell - 6th</t>
  </si>
  <si>
    <t>Gervase Peterson - 7th</t>
  </si>
  <si>
    <t>Jenna Lewis - 8th</t>
  </si>
  <si>
    <t>AUSTRALIAN OUTBACK</t>
  </si>
  <si>
    <t>Ogakor Alliance</t>
  </si>
  <si>
    <t>Members - 5</t>
  </si>
  <si>
    <t>Tina Wesson - 1st</t>
  </si>
  <si>
    <t>Colby Donaldson - 2nd</t>
  </si>
  <si>
    <t>Keith Famie - 3rd</t>
  </si>
  <si>
    <t>Amber Brkich - 6th</t>
  </si>
  <si>
    <t>Jerri Manthey - 8th</t>
  </si>
  <si>
    <t>Kucha Alliance</t>
  </si>
  <si>
    <t>Elisabeth Filsarki - 4th</t>
  </si>
  <si>
    <t>Rodger Bingham - 5th</t>
  </si>
  <si>
    <t>Nick Brown - 7th</t>
  </si>
  <si>
    <t>Alicia Calaway - 9th</t>
  </si>
  <si>
    <t>Jeff Varner - 10th</t>
  </si>
  <si>
    <t>AFRICA</t>
  </si>
  <si>
    <t>Boran Alliance</t>
  </si>
  <si>
    <t>Ethan Zohn - 1st</t>
  </si>
  <si>
    <t>Kim Johnson - 2nd</t>
  </si>
  <si>
    <t>Lex van den Berghe - 3rd</t>
  </si>
  <si>
    <t>Tom Buchanan - 4th</t>
  </si>
  <si>
    <t>Kelly Goldsmith - 9th</t>
  </si>
  <si>
    <t>Older Samburu Alliance</t>
  </si>
  <si>
    <t>Teresa Cooper - 5th</t>
  </si>
  <si>
    <t>Linda Spencer - 13th</t>
  </si>
  <si>
    <t>Carl Bilancione - 14th</t>
  </si>
  <si>
    <t>Younger Samburu Alliance</t>
  </si>
  <si>
    <t>Frank Garrison - 7th</t>
  </si>
  <si>
    <t>Kim Powers - 6th</t>
  </si>
  <si>
    <t>Brandon Quinton - 8th</t>
  </si>
  <si>
    <t>Lindsey Richter - 11th</t>
  </si>
  <si>
    <t>Silas Gaither - 12th</t>
  </si>
  <si>
    <t>MARQUESAS</t>
  </si>
  <si>
    <t>Maraamu Alliance</t>
  </si>
  <si>
    <t>Vecepia Towery - 1st</t>
  </si>
  <si>
    <t>Sean Rector - 5th</t>
  </si>
  <si>
    <t>Rob Mariano - 10th</t>
  </si>
  <si>
    <t>Sarah Jones - 13th</t>
  </si>
  <si>
    <t>Rotu 4</t>
  </si>
  <si>
    <t>Robert DeCanio - 6th</t>
  </si>
  <si>
    <t>Tammy Leitner - 7th</t>
  </si>
  <si>
    <t>Zoe Zanidakis - 8th</t>
  </si>
  <si>
    <t>John Carroll - 9th</t>
  </si>
  <si>
    <t>Outsiders Alliance</t>
  </si>
  <si>
    <t>Neleh Dennis - 2nd</t>
  </si>
  <si>
    <t>Kathy Vavrick-O'Brien - 3rd</t>
  </si>
  <si>
    <t>Paschal English - 4th</t>
  </si>
  <si>
    <t>THAILAND</t>
  </si>
  <si>
    <t>Chuay Guan Five</t>
  </si>
  <si>
    <t>Brian Heidik - 1st</t>
  </si>
  <si>
    <t>Clay Jordan - 2nd</t>
  </si>
  <si>
    <t>Jan Gentry - 3rd</t>
  </si>
  <si>
    <t>Helen Glover - 4th</t>
  </si>
  <si>
    <t>Ted Rogers, Jr. - 5th</t>
  </si>
  <si>
    <t>Sook Jai Alliance</t>
  </si>
  <si>
    <t>Jake Billingsley - 6th</t>
  </si>
  <si>
    <t>Penny Ramsey - 7th</t>
  </si>
  <si>
    <t>Ken Stafford - 8th</t>
  </si>
  <si>
    <t>Erin Collins - 9th</t>
  </si>
  <si>
    <t>Shii Ann Huang - 10th</t>
  </si>
  <si>
    <t>THE AMAZON</t>
  </si>
  <si>
    <t>Jaburu Alliance</t>
  </si>
  <si>
    <t>Members - 7</t>
  </si>
  <si>
    <t>Jenna Morasca - 1st</t>
  </si>
  <si>
    <t>Matthew von Ertfelda - 2nd</t>
  </si>
  <si>
    <t>Rob Cesternino - 3rd</t>
  </si>
  <si>
    <t>Heidi Strobel - 5th</t>
  </si>
  <si>
    <t>Alex Bell - 7th</t>
  </si>
  <si>
    <t>Deena Bennett - 8th</t>
  </si>
  <si>
    <t>Shawna Mitchell - 11th</t>
  </si>
  <si>
    <t>Butch Lockley - 4th</t>
  </si>
  <si>
    <t>Dave Johnson - 9th</t>
  </si>
  <si>
    <t>Roger Sexton - 10th</t>
  </si>
  <si>
    <t>Tambaqui Alliance</t>
  </si>
  <si>
    <t>PEARL ISLANDS</t>
  </si>
  <si>
    <t>Members - 6</t>
  </si>
  <si>
    <t>Drake Alliance</t>
  </si>
  <si>
    <t>Sandra Diaz-Twine - 1st</t>
  </si>
  <si>
    <t>Jon Dalton - 3rd</t>
  </si>
  <si>
    <t>Christa Hastie - 6th</t>
  </si>
  <si>
    <t>Rupert Boneham - 8th</t>
  </si>
  <si>
    <t>Trish Dunn - 13th</t>
  </si>
  <si>
    <t>Morgan Alliance</t>
  </si>
  <si>
    <t>Darrah Johnson - 4th</t>
  </si>
  <si>
    <t>Tijuana Bradley - 7th</t>
  </si>
  <si>
    <t>Ryan Opray - 9th</t>
  </si>
  <si>
    <t>Andrew Savage - 10th</t>
  </si>
  <si>
    <t>Osten Taylor - 11th</t>
  </si>
  <si>
    <t>Outcast Alliance</t>
  </si>
  <si>
    <t>Lillian Morris - 2nd</t>
  </si>
  <si>
    <t>Burton Roberts - 5th</t>
  </si>
  <si>
    <t>ALL STARS</t>
  </si>
  <si>
    <t>Chapera Alliance</t>
  </si>
  <si>
    <t>Amber Brkich</t>
  </si>
  <si>
    <t>8. amber brkich</t>
  </si>
  <si>
    <t>amber brkich</t>
  </si>
  <si>
    <t>Comparative Rankings Of Winners based on VAR is used as a metric to determine how crucial voting accuracy was to a winning game for each winner listed; all rankings are determined in comparison with each other. This chart can also to be filtered to look individually at certain winners. For example, if you wanted to compare amber brkich and Rob Mariano, you can use the name filter on the bottom left to determine which winner has a higher VAR. The lower the number, the higher the ranking. I would like to point out a few rankings individually and give brief analysis on why voting accuracy was crucial (or not) to their game.
Two of the most popular underdog stories of SURVIVOR come from the Aitu 4 and Foa Foa 4, from Cook Islands and Samoa; the two winners from those seasons are Yul Kwon and Natalie White. Both winners have a VAR of 100%, ranking them #1 on the chart. As part of an underdog alliance based on tribal lines, voting correctly is an incredibly crucial part of the game; attempting to split votes or throw votes away is a harmful tactic when, for example, you are in an 8-4 minority. All of that 4 must vote together in order to have a standing chance against a majority. Voting accuracy is essential to surviving in this scenario and was an integral component of both Kwon and White's game.
Taking a look at Chris Underwood from Edge of Extinction, his ranking is #28 with a VAR of 80%. On paper, that is a relatively strong VAR with a middle of the road ranking, but, comparatively to other winners, the average number of tribals attended by a winner is 10.27 tribals. Underwood voted at FIVE tribal councils. So, while a VAR of 80% is great, compared to other winners, VAR was not essential to his game compared to other winners. If Underwood attended twice the tribals he attended in Edge of Extinction and held a VAR of 80%, it would be a near average VAR (Avg: 82%) and would be relatively mediocre. However, VAR cannnot be a good metric for Underwood since he only voted at 5 tribal councils.
Finally, I'd like to analyze Jud Birza from Nicaragua, with a rank of #42 and VAR of 60%. That is, comparatively, a low VAR, but when put into context of his winning game, it makes crucial sense; VAR is an important metric in measuring Birza's winning game in a different way. While VAR can often be seen as the higher the better, Birza's low VAR is a credit to directly following his strategy of being aloof and playing as a floater. As he didn't have a strategy to be a strategist or alliance maker, a good VAR wasn't crucial to Birza winning the game. Thus, he voted incorrectly at certain tribals, like the tribal council where Marty went home, to keep in good graces with those eliminated while keeping his strategy afloat. Voting incorrectly - at the right times - can be a valid strategy to win the game, thus turning VAR poorly intentionally.
Summarizing the above, rankings are another indicator of how important VAR was to a winner's game. For the winners with a higher ranking, high VAR was crucial to them winning the game, whether it was for a dominant alliance, underdog grouping, or otherwise. A lower ranking could mean loyalty to allies or intentionally voting incorrectly. Regardless, towards the ends of the spectrum, VAR is crucial to a winning game and explains why a winner won their season. As for winners towards the middle of the spectrum, VAR is not as crucial to their winning game and falls between the error margins of the average, being 84%. To make it short, if someone wants to go on SURVIVOR and use VAR as a winning metric, either voting perfectly or voting incorrectly frequently is crucial to that being a valid metric to be valued by the jury.</t>
  </si>
  <si>
    <t>Amber Brkich - 1st</t>
  </si>
  <si>
    <t>Rob Mariano - 2nd</t>
  </si>
  <si>
    <t>Jenna Lewis - 3rd</t>
  </si>
  <si>
    <t>Rupert Boneham - 4th</t>
  </si>
  <si>
    <t>Tom Buchanan - 5th</t>
  </si>
  <si>
    <t>Alicia Calaway - 7th</t>
  </si>
  <si>
    <t>Mogo Mogo Alliance</t>
  </si>
  <si>
    <t>Shii Ann Huang - 6th</t>
  </si>
  <si>
    <t>Kathy Vavrick-O'Brien - 8th</t>
  </si>
  <si>
    <t>Lex van den Berghe - 9th</t>
  </si>
  <si>
    <t>Jerri Manthey - 10th</t>
  </si>
  <si>
    <t>VANUATU</t>
  </si>
  <si>
    <t>Fat Five</t>
  </si>
  <si>
    <t>Chris Daugherty - 1st</t>
  </si>
  <si>
    <t>Chad Crittenden - 8th</t>
  </si>
  <si>
    <t>Lea Masters - 9th</t>
  </si>
  <si>
    <t>Rory Freeman - 10th</t>
  </si>
  <si>
    <t>Travis Sampson - 13th</t>
  </si>
  <si>
    <t>Yasur Alliance</t>
  </si>
  <si>
    <t>Twila Tanner - 2nd</t>
  </si>
  <si>
    <t>Scout Cloud Lee - 3rd</t>
  </si>
  <si>
    <t>Eliza Orlins - 4th</t>
  </si>
  <si>
    <t>Julie Berry - 5th</t>
  </si>
  <si>
    <t>Ami Cusack - 6th</t>
  </si>
  <si>
    <t>Leann Slaby - 7th</t>
  </si>
  <si>
    <t>Lisa Keiffer - 12th</t>
  </si>
  <si>
    <t>PALAU</t>
  </si>
  <si>
    <t>Koror Alliance</t>
  </si>
  <si>
    <t>Tom Westman - 1st</t>
  </si>
  <si>
    <t>Katie Gallagher - 2nd</t>
  </si>
  <si>
    <t>Ian Rosenberger - 3rd</t>
  </si>
  <si>
    <t>Jenn Lyon - 4th</t>
  </si>
  <si>
    <t>Gregg Carey - 6th</t>
  </si>
  <si>
    <t>GUATEMALA</t>
  </si>
  <si>
    <t>Nakúm Alliance</t>
  </si>
  <si>
    <t>Stephenie LaGrossa - 2nd</t>
  </si>
  <si>
    <t>Rafe Judkins - 3rd</t>
  </si>
  <si>
    <t>Lydia Morales - 4th</t>
  </si>
  <si>
    <t>Cindy Hall - 5th</t>
  </si>
  <si>
    <t>Judd Sergeant - 6th</t>
  </si>
  <si>
    <t>Jamie Newton - 8th</t>
  </si>
  <si>
    <t>Yaxhá Alliance</t>
  </si>
  <si>
    <t>Danni Boatwright - 1st</t>
  </si>
  <si>
    <t>Bobby Jon Drinkard - 9th</t>
  </si>
  <si>
    <t>Brandon Bellinger - 10th</t>
  </si>
  <si>
    <t>Blake Towsley - 14th</t>
  </si>
  <si>
    <t>PANAMA - EXILE ISLAND</t>
  </si>
  <si>
    <t>Aras Baskauskas - 1st</t>
  </si>
  <si>
    <t>Danielle DiLorenzo - 2nd</t>
  </si>
  <si>
    <t>Cirie Fields - 4th</t>
  </si>
  <si>
    <t>Shane Powers - 5th</t>
  </si>
  <si>
    <t>Courtney Marit - 6th</t>
  </si>
  <si>
    <t>Bruce Kanegai - 7th</t>
  </si>
  <si>
    <t>La Mina Alliance</t>
  </si>
  <si>
    <t>Austin Carty - 9th</t>
  </si>
  <si>
    <t>Nick Stanbury - 10th</t>
  </si>
  <si>
    <t>Dan Barry - 11th</t>
  </si>
  <si>
    <t>COOK ISLANDS</t>
  </si>
  <si>
    <t>Aitu Four</t>
  </si>
  <si>
    <t>Yul Kwon - 1st</t>
  </si>
  <si>
    <t>Ozzy Lusth - 2nd</t>
  </si>
  <si>
    <t>Becky Lee - 3rd</t>
  </si>
  <si>
    <t>Sundra Oakley - 4th</t>
  </si>
  <si>
    <t>Raro Alliance</t>
  </si>
  <si>
    <t>Adam Gentry - 5th</t>
  </si>
  <si>
    <t>Parvati Shallow - 6th</t>
  </si>
  <si>
    <t>Jonathan Penner - 7th</t>
  </si>
  <si>
    <t>Candice Woodcock - 8th</t>
  </si>
  <si>
    <t>Nate Gonzalez - 9th</t>
  </si>
  <si>
    <t>FIJI</t>
  </si>
  <si>
    <t>Four Horsemen</t>
  </si>
  <si>
    <t>Dreamz Herd - 2nd</t>
  </si>
  <si>
    <t>Alex Angarita - 7th</t>
  </si>
  <si>
    <t>Mookie Lee - 8th</t>
  </si>
  <si>
    <t>Edgardo Rivera - 9th</t>
  </si>
  <si>
    <t>Syndicate Alliance</t>
  </si>
  <si>
    <t>Earl Cole - 1st</t>
  </si>
  <si>
    <t>Cassandra Franklin - 2nd</t>
  </si>
  <si>
    <t>Yau-Man Chan - 4th</t>
  </si>
  <si>
    <t>Michelle Yi - 10th</t>
  </si>
  <si>
    <t>CHINA</t>
  </si>
  <si>
    <t>Fei Long Alliance</t>
  </si>
  <si>
    <t>Todd Herzog - 1st</t>
  </si>
  <si>
    <t>Courtney Yates - 2nd</t>
  </si>
  <si>
    <t>Amanda Kimmel - 3rd</t>
  </si>
  <si>
    <t>Denise Martin - 4th</t>
  </si>
  <si>
    <t>James Clement - 7th</t>
  </si>
  <si>
    <t>Frosti Zernow - 8th</t>
  </si>
  <si>
    <t>Aaron Reisberger - 12th</t>
  </si>
  <si>
    <t>Zhan Hu Alliance</t>
  </si>
  <si>
    <t>Peih-Gee Law - 5th</t>
  </si>
  <si>
    <t>Erik Huffman - 6th</t>
  </si>
  <si>
    <t>Jaime Dugan - 10th</t>
  </si>
  <si>
    <t>MICRONESIA - FANS VS. FAVORITES</t>
  </si>
  <si>
    <t>Malakal Couples Alliance</t>
  </si>
  <si>
    <t>Parvati Shallow - 1st</t>
  </si>
  <si>
    <t>Amanda Kimmel - 2nd</t>
  </si>
  <si>
    <t>Cirie Fields - 3rd</t>
  </si>
  <si>
    <t>Ozzy Lusth - 9th</t>
  </si>
  <si>
    <t>Older Airai Alliance</t>
  </si>
  <si>
    <t>Tracy Hughes-Wolf - 12th</t>
  </si>
  <si>
    <t>Kathy Sleckman - 13th</t>
  </si>
  <si>
    <t>Chet Welch - 14th</t>
  </si>
  <si>
    <t>Black Widow Brigade</t>
  </si>
  <si>
    <t>Natalie Bolton - 4th</t>
  </si>
  <si>
    <t>Alexis Jones - 6th</t>
  </si>
  <si>
    <t>GABON - EARTH'S LAST EDEN</t>
  </si>
  <si>
    <t>Fang Alliance</t>
  </si>
  <si>
    <t>Susie Smith - 2nd</t>
  </si>
  <si>
    <t>Sugar Kiper - 3rd</t>
  </si>
  <si>
    <t>Matty Whitmore - 4th</t>
  </si>
  <si>
    <t>Ken Hoang - 5th</t>
  </si>
  <si>
    <t>Crystal Cox - 6th</t>
  </si>
  <si>
    <t>Kelly Czarnecki - 13th</t>
  </si>
  <si>
    <t>GC Brown - 14th</t>
  </si>
  <si>
    <t>Onion Alliance</t>
  </si>
  <si>
    <t>Bob Crowley - 1st</t>
  </si>
  <si>
    <t>Corinne Kaplan - 7th</t>
  </si>
  <si>
    <t>Randy Bailey - 8th</t>
  </si>
  <si>
    <t>Charlie Herschel - 9th</t>
  </si>
  <si>
    <t>Marcus Lehman - 10th</t>
  </si>
  <si>
    <t>Jacquie Brown - 15th</t>
  </si>
  <si>
    <t>TOCANTINS - THE BRAZILIAN HIGHLANDS</t>
  </si>
  <si>
    <t>Jalapao Three</t>
  </si>
  <si>
    <t>J.T. Thomas - 1st</t>
  </si>
  <si>
    <t>Stephen Fishbach - 2nd</t>
  </si>
  <si>
    <t>Taj Johnson-George - 4th</t>
  </si>
  <si>
    <t>Timbira Alliance</t>
  </si>
  <si>
    <t>Coach Wade - 5th</t>
  </si>
  <si>
    <t>Debbie Beebe - 6th</t>
  </si>
  <si>
    <t>Tyson Apostol - 8th</t>
  </si>
  <si>
    <t>Exile Alliance</t>
  </si>
  <si>
    <t>Sierra Reed - 7th</t>
  </si>
  <si>
    <t>Brendan Synnott - 9th</t>
  </si>
  <si>
    <t>SAMOA</t>
  </si>
  <si>
    <t>Foa Foa Four</t>
  </si>
  <si>
    <t>Natalie White - 1st</t>
  </si>
  <si>
    <t>Russell Hantz - 2nd</t>
  </si>
  <si>
    <t>Mick Trimming - 3rd</t>
  </si>
  <si>
    <t>Jaison Robinson - 5th</t>
  </si>
  <si>
    <t>Galu Alliance</t>
  </si>
  <si>
    <t>Brett Clouser - 4th</t>
  </si>
  <si>
    <t>Monica Padilla - 7th</t>
  </si>
  <si>
    <t>Shambo Waters - 6th</t>
  </si>
  <si>
    <t>Dave Ball - 8th</t>
  </si>
  <si>
    <t>John Fincher - 9th</t>
  </si>
  <si>
    <t>Laura Morett - 10th</t>
  </si>
  <si>
    <t>Kelly Sharbaugh - 11th</t>
  </si>
  <si>
    <t>HEROES VS. VILLAINS</t>
  </si>
  <si>
    <t>Casaya Alliance</t>
  </si>
  <si>
    <t>Heroes Alliance</t>
  </si>
  <si>
    <t>Rupert Boneham - 6th</t>
  </si>
  <si>
    <t>Amanda Kimmel - 9th</t>
  </si>
  <si>
    <t>J.T. Thomas - 10th</t>
  </si>
  <si>
    <t>James Clement - 14th</t>
  </si>
  <si>
    <t>Cirie Fields - 17th</t>
  </si>
  <si>
    <t>Rob's Villains Alliance</t>
  </si>
  <si>
    <t>Jerri Manthey - 4th</t>
  </si>
  <si>
    <t>Courtney Yates - 11th</t>
  </si>
  <si>
    <t>Coach Wade - 12th</t>
  </si>
  <si>
    <t>Rob Mariano - 13th</t>
  </si>
  <si>
    <t>Tyson Apostol - 15th</t>
  </si>
  <si>
    <t>Russell's Villains Alliance</t>
  </si>
  <si>
    <t>Parvati Shallow - 2nd</t>
  </si>
  <si>
    <t>Russell Hantz - 3rd</t>
  </si>
  <si>
    <t>Danielle DiLorenzo - 7th</t>
  </si>
  <si>
    <t>NICARAGUA</t>
  </si>
  <si>
    <t>Espada Alliance</t>
  </si>
  <si>
    <t>Dan Lembo - 5th</t>
  </si>
  <si>
    <t>Marty Piombo - 11th</t>
  </si>
  <si>
    <t>Jill Behm - 13th</t>
  </si>
  <si>
    <t>La Flor Alliance</t>
  </si>
  <si>
    <t>Chase Rice - 2nd</t>
  </si>
  <si>
    <t>Sash Lenahan - 3rd</t>
  </si>
  <si>
    <t>Kelly Shinn - 8th</t>
  </si>
  <si>
    <t>NaOnka Mixon - 9th</t>
  </si>
  <si>
    <t>Brenda Lowe - 10th</t>
  </si>
  <si>
    <t>Holly Hoffman - 4th</t>
  </si>
  <si>
    <t>Jane Bright - 6th</t>
  </si>
  <si>
    <t>REDEMPTION ISLAND</t>
  </si>
  <si>
    <t>Russell's Zapatera Alliance</t>
  </si>
  <si>
    <t>Stephanie Valencia - 14th</t>
  </si>
  <si>
    <t>Russell Hantz - 17th</t>
  </si>
  <si>
    <t>Krista Klumpp - 15th</t>
  </si>
  <si>
    <t>Stealth R Us</t>
  </si>
  <si>
    <t>Rob Mariano - 1st</t>
  </si>
  <si>
    <t>Phillip Sheppard - 2nd</t>
  </si>
  <si>
    <t>Natalie Tenerelli - 3rd</t>
  </si>
  <si>
    <t>Ashley Underwood - 4th</t>
  </si>
  <si>
    <t>Andrea Boehlke - 5th</t>
  </si>
  <si>
    <t>Grant Mattos - 8th</t>
  </si>
  <si>
    <t>Matt Elrod - 7th</t>
  </si>
  <si>
    <t>Zapatera Six</t>
  </si>
  <si>
    <t>Mike Chiesl - 6th</t>
  </si>
  <si>
    <t>Steve Wright - 9th</t>
  </si>
  <si>
    <t>Ralph Kiser - 10th</t>
  </si>
  <si>
    <t>Julie Wolfe - 11th</t>
  </si>
  <si>
    <t>David Murphy - 12th</t>
  </si>
  <si>
    <t>Sarita White - 13th</t>
  </si>
  <si>
    <t>SOUTH PACIFIC</t>
  </si>
  <si>
    <t>Savaii Alliance</t>
  </si>
  <si>
    <t>Ozzy Lusth - 4th</t>
  </si>
  <si>
    <t>John Cochran - 8th</t>
  </si>
  <si>
    <t>Whitney Duncan - 9th</t>
  </si>
  <si>
    <t>Dawn Meehan - 10th</t>
  </si>
  <si>
    <t>Keith Tollefson - 11th</t>
  </si>
  <si>
    <t>Jim Rice - 12th</t>
  </si>
  <si>
    <t>Elyse Umemoto -15th</t>
  </si>
  <si>
    <t>The Family</t>
  </si>
  <si>
    <t>Sophie Clarke - 1st</t>
  </si>
  <si>
    <t>Coach Wade - 2nd</t>
  </si>
  <si>
    <t>Albert Destrade - 3rd</t>
  </si>
  <si>
    <t>Rick Nelson - 5th</t>
  </si>
  <si>
    <t>Brandon Hantz - 6th</t>
  </si>
  <si>
    <t>Edna Ma - 7th</t>
  </si>
  <si>
    <t>ONE WORLD</t>
  </si>
  <si>
    <t>Misfit Alliance</t>
  </si>
  <si>
    <t>Tarzan Smith - 6th</t>
  </si>
  <si>
    <t>Troyzan Robertson - 8th</t>
  </si>
  <si>
    <t>Leif Manson - 9th</t>
  </si>
  <si>
    <t>Jonas Otsuji - 12th</t>
  </si>
  <si>
    <t>Colton Cumbie - 13th</t>
  </si>
  <si>
    <t>Muscle Alliance</t>
  </si>
  <si>
    <t>Jay Byars - 10th</t>
  </si>
  <si>
    <t>Michael Jefferson - 11th</t>
  </si>
  <si>
    <t>Bill Posley - 15th</t>
  </si>
  <si>
    <t>Salani Alliance</t>
  </si>
  <si>
    <t>24. Kim spradlin</t>
  </si>
  <si>
    <t>Kim spradlin</t>
  </si>
  <si>
    <t>Kim spradlin2</t>
  </si>
  <si>
    <t>Amber Brkich2</t>
  </si>
  <si>
    <t>Kim Spradlin - 1st</t>
  </si>
  <si>
    <t>Sabrina Thompson - 2nd</t>
  </si>
  <si>
    <t>Chelsea Meissner - 3rd</t>
  </si>
  <si>
    <t>Alicia Rosa - 5th</t>
  </si>
  <si>
    <t>Kat Edorsson - 7th</t>
  </si>
  <si>
    <t>PHILIPPINES</t>
  </si>
  <si>
    <t>Kalabaw Alliance</t>
  </si>
  <si>
    <t>Carter Williams - 6th</t>
  </si>
  <si>
    <t>Jeff Kent - 10th</t>
  </si>
  <si>
    <t>Matsing Alliance</t>
  </si>
  <si>
    <t>Denise Stapley - 1st</t>
  </si>
  <si>
    <t>Malcolm Freberg - 4th</t>
  </si>
  <si>
    <t>Angie Layton - 16th</t>
  </si>
  <si>
    <t>Tandang Alliance</t>
  </si>
  <si>
    <t>Lisa Whelchel - 2nd</t>
  </si>
  <si>
    <t>Michael Skupin - 2nd</t>
  </si>
  <si>
    <t>Abi-Maria Gomes - 5th</t>
  </si>
  <si>
    <t>Pete Yurkowski - 8th</t>
  </si>
  <si>
    <t>Artis Silvester - 9th</t>
  </si>
  <si>
    <t>RC Saint-Amour - 11th</t>
  </si>
  <si>
    <t>Fulcrum Alliance</t>
  </si>
  <si>
    <t>CARAMOAN - FANS VS. FAVORITES</t>
  </si>
  <si>
    <t>Eddie Fox - 4th</t>
  </si>
  <si>
    <t>Reynold Toepfer - 8th</t>
  </si>
  <si>
    <t>Hope Driskill - 18th</t>
  </si>
  <si>
    <t>Allie Pohevitz - 19th</t>
  </si>
  <si>
    <t>Michael Snow - 11th</t>
  </si>
  <si>
    <t>Sherri Biethman - 2nd</t>
  </si>
  <si>
    <t>Julia Landauer - 13th</t>
  </si>
  <si>
    <t>Matt Bischoff - 14th</t>
  </si>
  <si>
    <t>Laura Alexander - 16th</t>
  </si>
  <si>
    <t>Shamar Thomas - 17th</t>
  </si>
  <si>
    <t>Gota Alliance</t>
  </si>
  <si>
    <t>John Cochran - 1st</t>
  </si>
  <si>
    <t>Dawn Meehan - 2nd</t>
  </si>
  <si>
    <t>Andrea Boehlke - 7th</t>
  </si>
  <si>
    <t>Malcolm Freberg - 9th</t>
  </si>
  <si>
    <t>Phillip Sheppard - 10th</t>
  </si>
  <si>
    <t>Corinne Kaplan - 12th</t>
  </si>
  <si>
    <t>BLOOD VS. WATER</t>
  </si>
  <si>
    <t>Five Guys Alliance</t>
  </si>
  <si>
    <t>Hayden Moss - 7th</t>
  </si>
  <si>
    <t>Caleb Bankston - 9th</t>
  </si>
  <si>
    <t>John Cody - 13th</t>
  </si>
  <si>
    <t>Brad Culpepper - 15th</t>
  </si>
  <si>
    <t>Galang Alliance</t>
  </si>
  <si>
    <t>Tyson Apostol - 1st</t>
  </si>
  <si>
    <t>Monica Culpepper - 2nd</t>
  </si>
  <si>
    <t>Gervase Peterson - 3rd</t>
  </si>
  <si>
    <t>Tina Wesson - 4th</t>
  </si>
  <si>
    <t>Vytas Baskauskas - 10th</t>
  </si>
  <si>
    <t>Aras Baskauskas - 11th</t>
  </si>
  <si>
    <t>Singles Alliance</t>
  </si>
  <si>
    <t>Ciera Eastin - 5th</t>
  </si>
  <si>
    <t>CAGAYAN - BRAWN VS. BRAINS VS. BEAUTY</t>
  </si>
  <si>
    <t>Aparri Alliance</t>
  </si>
  <si>
    <t>Kass McQuillen - 3rd</t>
  </si>
  <si>
    <t>Spencer Bledsoe - 4th</t>
  </si>
  <si>
    <t>Tasha Fox - 6th</t>
  </si>
  <si>
    <t>Jeremiah Wood - 8th</t>
  </si>
  <si>
    <t>Morgan McLeod - 10th</t>
  </si>
  <si>
    <t>Sarah Lacina - 11th</t>
  </si>
  <si>
    <t>Tony Vlachos - 1st</t>
  </si>
  <si>
    <t>Solana Alliance</t>
  </si>
  <si>
    <t>Woo Hwang - 2nd</t>
  </si>
  <si>
    <t>Trish Hegarty - 5th</t>
  </si>
  <si>
    <t>Jefra Bland - 7th</t>
  </si>
  <si>
    <t>LJ McKanas - 9th</t>
  </si>
  <si>
    <t>SAN JUAN DEL SUR - BLOOD VS. WATER</t>
  </si>
  <si>
    <t>Coyopa Guys Alliance</t>
  </si>
  <si>
    <t>Alec Christy - 7th</t>
  </si>
  <si>
    <t>Wes Nale - 9th</t>
  </si>
  <si>
    <t>Josh Canfield - 11th</t>
  </si>
  <si>
    <t>Dale Wentworth - 13th</t>
  </si>
  <si>
    <t>John Rocker - 16th</t>
  </si>
  <si>
    <t>Fab Five</t>
  </si>
  <si>
    <t>Natalie Anderson - 1st</t>
  </si>
  <si>
    <t>Jaclyn Schultz - 2nd</t>
  </si>
  <si>
    <t>Missy Payne - 3rd</t>
  </si>
  <si>
    <t>Baylor Wilson - 5th</t>
  </si>
  <si>
    <t>Jon Misch - 6th</t>
  </si>
  <si>
    <t>WORLDS APART - WHITE COLLAR VS. BLUE COLLAR VS. NO COLLAR</t>
  </si>
  <si>
    <t>Escameca Alliance</t>
  </si>
  <si>
    <t>Mike Holloway - 1st</t>
  </si>
  <si>
    <t>Rodney Lavoie Jr. - 4th</t>
  </si>
  <si>
    <t>Sierra Dawn Thomas - 5th</t>
  </si>
  <si>
    <t>Dan Foley - 6th</t>
  </si>
  <si>
    <t>Kelly Remington - 12th</t>
  </si>
  <si>
    <t>Nagarote Alliance</t>
  </si>
  <si>
    <t>Will Sims II - 3rd</t>
  </si>
  <si>
    <t>Jenn Brown - 9th</t>
  </si>
  <si>
    <t>Joe Anglim - 10th</t>
  </si>
  <si>
    <t>Hali Ford - 11th</t>
  </si>
  <si>
    <t>CAMBODIA - SECOND CHANCE</t>
  </si>
  <si>
    <t>Bayon Alliance</t>
  </si>
  <si>
    <t>Jeremy Collins - 1st</t>
  </si>
  <si>
    <t>Tasha Fox - 3rd</t>
  </si>
  <si>
    <t>Keith Nale - 5th</t>
  </si>
  <si>
    <t>Kimmi Kappenberg - 6th</t>
  </si>
  <si>
    <t>Joe Anglim - 8th</t>
  </si>
  <si>
    <t>Stephen Fishbach - 9th</t>
  </si>
  <si>
    <t>Andrew Savage - 12th</t>
  </si>
  <si>
    <t>Witches' Coven</t>
  </si>
  <si>
    <t>Kelley Wentworth - 4th</t>
  </si>
  <si>
    <t>Abi-Maria Gomes - 7th</t>
  </si>
  <si>
    <t>Ciera Eastin - 10th</t>
  </si>
  <si>
    <t>Kass McQuillen - 13th</t>
  </si>
  <si>
    <t>KAÔH RŌNG — BRAINS VS. BRAWN VS. BEAUTY</t>
  </si>
  <si>
    <t>Gondol Alliance</t>
  </si>
  <si>
    <t>Tai Trang - 3rd</t>
  </si>
  <si>
    <t>Kyle Jason - 6th</t>
  </si>
  <si>
    <t>Julia Sokolowski - 7th</t>
  </si>
  <si>
    <t>Scot Pollard - 8th</t>
  </si>
  <si>
    <t>Dara Women's Alliance</t>
  </si>
  <si>
    <t>Michele Fitzgerald - 1st</t>
  </si>
  <si>
    <t>Aubry Bracco - 2nd</t>
  </si>
  <si>
    <t>Cydney Gillon - 4th</t>
  </si>
  <si>
    <t>Joe del Campo - 5th</t>
  </si>
  <si>
    <t>Debbie Wanner - 9th</t>
  </si>
  <si>
    <t>MILLENIALS VS. GEN X</t>
  </si>
  <si>
    <t>Takali Alliance</t>
  </si>
  <si>
    <t>Bret LaBelle - 5th</t>
  </si>
  <si>
    <t>Sunday Burquest - 7th</t>
  </si>
  <si>
    <t>Jessica Lewis - 10th</t>
  </si>
  <si>
    <t>Chris Hammons - 11th</t>
  </si>
  <si>
    <t>Lucy Huang - 17th</t>
  </si>
  <si>
    <t>Paul Wachter - 18th</t>
  </si>
  <si>
    <t>Triforce</t>
  </si>
  <si>
    <t>Jay Starrett - 6th</t>
  </si>
  <si>
    <t>Will Wahl - 8th</t>
  </si>
  <si>
    <t>Taylor Stocker - 12th</t>
  </si>
  <si>
    <t>Michelle Schubert - 13th</t>
  </si>
  <si>
    <t>Michaela Bradshaw - 14th</t>
  </si>
  <si>
    <t>Figgy Figueroa - 15th</t>
  </si>
  <si>
    <t>David's Vinaka Alliance</t>
  </si>
  <si>
    <t>Adam Klein - 1st</t>
  </si>
  <si>
    <t>Hannah Shapiro - 2nd</t>
  </si>
  <si>
    <t>Ken McNickle - 2nd</t>
  </si>
  <si>
    <t>David Wright - 4th</t>
  </si>
  <si>
    <t>Zeke's Vinaka Alliance</t>
  </si>
  <si>
    <t>Zeke Smith - 9th</t>
  </si>
  <si>
    <t>GAME CHANGERS - MAMANUCA ISLANDS</t>
  </si>
  <si>
    <t>Power Six</t>
  </si>
  <si>
    <t>Brad Culpepper - 2nd</t>
  </si>
  <si>
    <t>Troyzan Robertson - 3rd</t>
  </si>
  <si>
    <t>Tai Trang - 4th</t>
  </si>
  <si>
    <t>Sarah Lacina - 1st</t>
  </si>
  <si>
    <t>Sierra Dawn Thomas - 9th</t>
  </si>
  <si>
    <t>Debbie Wanner - 11th</t>
  </si>
  <si>
    <t>Tavua Alliance</t>
  </si>
  <si>
    <t>Aubry Bracco - 5th</t>
  </si>
  <si>
    <t>Cirie Fields - 6th</t>
  </si>
  <si>
    <t>Michaela Bradshaw - 7th</t>
  </si>
  <si>
    <t>Andrea Boehlke - 8th</t>
  </si>
  <si>
    <t>Zeke Smith - 10th</t>
  </si>
  <si>
    <t>Ozzy Lusth - 12th</t>
  </si>
  <si>
    <t>HEROES VS. HEALERS VS. HUSTLERS</t>
  </si>
  <si>
    <t>Soko Alliance</t>
  </si>
  <si>
    <t>Mike Zahalsky - 5th</t>
  </si>
  <si>
    <t>Joe Mena - 8th</t>
  </si>
  <si>
    <t>Cole Medders - 10th</t>
  </si>
  <si>
    <t>Desi Williams - 11th</t>
  </si>
  <si>
    <t>Jessica Johnston - 12th</t>
  </si>
  <si>
    <t>The Round Table</t>
  </si>
  <si>
    <t>Ben Driebergen - 1st</t>
  </si>
  <si>
    <t>Chrissy Hofbeck - 2nd</t>
  </si>
  <si>
    <t>Ryan Ulrich - 3rd</t>
  </si>
  <si>
    <t>Devon Pinto - 4th</t>
  </si>
  <si>
    <t>Ashley Nolan - 6th</t>
  </si>
  <si>
    <t>Lauren Rimmer - 7th</t>
  </si>
  <si>
    <t>JP Hilsabeck - 9th</t>
  </si>
  <si>
    <t>GHOST ISLAND</t>
  </si>
  <si>
    <t>Naviti Alliance</t>
  </si>
  <si>
    <t>Members - 8</t>
  </si>
  <si>
    <t>Wendell Holland - 1st</t>
  </si>
  <si>
    <t>Domenick Abbate - 2nd</t>
  </si>
  <si>
    <t>Angela Perkins - 4th</t>
  </si>
  <si>
    <t>Sebastian Noel - 6th</t>
  </si>
  <si>
    <t>Kellyn Bechtold - 7th</t>
  </si>
  <si>
    <t>Chelsea Townsend - 8th</t>
  </si>
  <si>
    <t>Desiree Afuye - 11th</t>
  </si>
  <si>
    <t>Bradley Kleihege - 14th</t>
  </si>
  <si>
    <t>Laurel Johnson - 3rd</t>
  </si>
  <si>
    <t>Donathan Hurley - 5th</t>
  </si>
  <si>
    <t>DAVID VS. GOLIATH</t>
  </si>
  <si>
    <t>David Alliance</t>
  </si>
  <si>
    <t>Nick Wilson - 1st</t>
  </si>
  <si>
    <t>Davie Rickenbacker - 6th</t>
  </si>
  <si>
    <t>Christian Hubicki - 7th</t>
  </si>
  <si>
    <t>Gabby Pascuzzi - 8th</t>
  </si>
  <si>
    <t>Carl Boudreaux - 9th</t>
  </si>
  <si>
    <t>Goliath Alliance</t>
  </si>
  <si>
    <t>Mike White - 2nd</t>
  </si>
  <si>
    <t>Angelina Keeley - 3rd</t>
  </si>
  <si>
    <t>Kara Kay - 4th</t>
  </si>
  <si>
    <t>Alison Raybould - 5th</t>
  </si>
  <si>
    <t>Alec Merlino - 10th</t>
  </si>
  <si>
    <t>Dan Rengering - 11th</t>
  </si>
  <si>
    <t>John Hennigan - 12th</t>
  </si>
  <si>
    <t>Natalia Azoqa - 16th</t>
  </si>
  <si>
    <t>When it comes to analyzing a winner based on how often they voted in the majority against how often they voted in the minority, it is easy to say that that voting in the majority is crucial for a winner to be deemed a "good" winner. And, while most winners do vote in the majority a majority of the time, there are a plethora of instances that indicate otherwise; a winner does not have to vote completely in the majority to vote correctly. The entire debate on this subsection of this project is determining how voting accuracy is used as a metric to determine a good winning game/winner; while voting in the majority is a strong way to improve VAR, simply voting with the most people is not always the correct manner to improving VAR.
The most common way for a winner to avoid voting in the majority while voting correctly is through the use of a hidden immunity idol. If a winner is in a minority, but plays an idol correctly and negates the majority's votes - ex. 7*-3 - the winner has voted correctly while not voting in the majority. This will mean that on the chart, it will say that they voted in the minority, but according to VAR at that specific tribal, they did vote correctly. An example case of this would be Nick Wilson from David Vs. Goliath. Wilson's current VAR is 75%, while his majority:minority vote ratio is 3:1, or 9:3 expanded. The one tribal council primarily in question with Wilson is the round where John Hennigan went home by a vote of 7*-3-2*. By voting in the minority here (the 3), Wilson gained a ratio of 3:1 for the season instead of 2:1. However, because of this, his VAR improved, whereas it would've been 67% had he voted Christian Hubicki, or even the same if he voted Angelina Keeley and the vote remained 3-2.
The other primary scenario I want to consider is the idea of splitting votes. Often, splitting votes on Survivor is a surefire way to tank VAR; since splitting votes is often a random, out-of-the-hat election of who will vote who, it is very easy to completely vote in the minority based on the fact that you are selected to pick one of multiple names to vote for. For example, take Kim spradlin from One World. S-W's VAR is 90%, where she maintained a majority:minority vote ratio of 9:1. The one tribal where she did vote in the minority was the round where Leif Manson was eliminated; she voted for Tarzan Smith. Had she voted for Manson, the vote would've become 5-2-2, ending in Manson's elimination while removing the one minority vote from her record, making her VAR 100%. However, because S-W's alliance decided to split the vote on Manson and Smith, S-W voted in the minority and incorrectly, while not voting incorrectly in the scope of the game.
Regardless of this, there is no winner that voted in the minority at half or at more than half of the tribal councils they attended; the closest to a 1:1 ratio is Bob Crowley. Crowley had a ratio of 5:4. Had he either attended one more tribal council and voted incorrectly or voted incorrectly at one of the tribals he did attend, Crowley would have a negative ratio and would have a below-half VAR. It is interesting to note that no winner has below 50% VAR, and no winner has a negative ratio. To win SURVIVOR, in any facet, a good VAR and voting in the majority is essential to being in a higher percentile to win the game. If a winner does eventually come along where they do have less than 50% voting accuracy and/or a negative ratio in terms of voting, this will have to be re-addressed. However, for the time being and for the forseeable future, majority voting - while not required 100% of the time - is paramount to a win, and thus should be followed by any fan looking to win SURVIVOR.</t>
  </si>
  <si>
    <t>EDGE OF EXTINCTION</t>
  </si>
  <si>
    <t>Kama Six</t>
  </si>
  <si>
    <t>Gavin Whitson - 2nd</t>
  </si>
  <si>
    <t>Julie Rosenberg - 3rd</t>
  </si>
  <si>
    <t>Victoria Baamonde - 6th</t>
  </si>
  <si>
    <t>Eric Hafemann - 13th</t>
  </si>
  <si>
    <t>Julia Carter - 12th</t>
  </si>
  <si>
    <t>Manu Alliance</t>
  </si>
  <si>
    <t>Chris Underwood - 1st</t>
  </si>
  <si>
    <t>Rick Devens - 4th</t>
  </si>
  <si>
    <t>Lauren O'Connell - 5th</t>
  </si>
  <si>
    <t>Ron Clark - 8th</t>
  </si>
  <si>
    <t>Wardog DaSilva - 9th</t>
  </si>
  <si>
    <t>Kelley Wentworth - 10th</t>
  </si>
  <si>
    <t>David Wright - 11th</t>
  </si>
  <si>
    <t>ISLAND OF THE IDOLS</t>
  </si>
  <si>
    <t>Lairo Women's Alliance</t>
  </si>
  <si>
    <t>Elaine Stott - 7th</t>
  </si>
  <si>
    <t>Karishma Patel - 8th</t>
  </si>
  <si>
    <t>Elizabeth Beisel - 9th</t>
  </si>
  <si>
    <t>Missy Byrd - 10th</t>
  </si>
  <si>
    <t>Chelsea Walker - 17th</t>
  </si>
  <si>
    <t>Vokai Alliance</t>
  </si>
  <si>
    <t>Tommy Sheehan - 1st</t>
  </si>
  <si>
    <t>Lauren Beck - 4th</t>
  </si>
  <si>
    <t>Janet Carbin - 5th</t>
  </si>
  <si>
    <t>Dan Spilo - 6th</t>
  </si>
  <si>
    <t>Kellee Kim - 13th</t>
  </si>
  <si>
    <t>Jason Linden - 15th</t>
  </si>
  <si>
    <t>Yase Alliance</t>
  </si>
  <si>
    <t>Liana Wallace - 7th</t>
  </si>
  <si>
    <t>Evvie Jagoda - 9th</t>
  </si>
  <si>
    <t>Tiffany Seely - 11th</t>
  </si>
  <si>
    <t>Campout Alliance</t>
  </si>
  <si>
    <t>Deshawn Radden - 2nd</t>
  </si>
  <si>
    <t>Danny McCray - 6th</t>
  </si>
  <si>
    <t>Shan Smith - 8th</t>
  </si>
  <si>
    <t>Erika Casupanan - 1st</t>
  </si>
  <si>
    <t>Xander Hastings - 3rd</t>
  </si>
  <si>
    <t>Heather Aldret - 4th</t>
  </si>
  <si>
    <t>Ricard Foyé - 5th</t>
  </si>
  <si>
    <t>Taku Four</t>
  </si>
  <si>
    <t>Maryanne Oketch - 1st</t>
  </si>
  <si>
    <t>Jonathan Young - 4th</t>
  </si>
  <si>
    <t>Lindsay Dolashewich - 5th</t>
  </si>
  <si>
    <t>Omar Zaheer - 6th</t>
  </si>
  <si>
    <t>Advantage Alliance</t>
  </si>
  <si>
    <t>Mike Turner - 2nd</t>
  </si>
  <si>
    <t>Drea Wheeler - 7th</t>
  </si>
  <si>
    <t>Hai Giang - 8th</t>
  </si>
  <si>
    <t>Rocksroy Bailey - 10th</t>
  </si>
  <si>
    <t>Lydia Meredith - 12th</t>
  </si>
  <si>
    <t>Coco Alliance</t>
  </si>
  <si>
    <t>Cassidy Clark - 2nd</t>
  </si>
  <si>
    <t>Karla Cruz Godoy - 5th</t>
  </si>
  <si>
    <t>James Jones - 10th</t>
  </si>
  <si>
    <t>Lindsay Carmine - 15th</t>
  </si>
  <si>
    <t>Ride Or Die</t>
  </si>
  <si>
    <t>Mike Gabler - 1st</t>
  </si>
  <si>
    <t>Jesse Lopez - 4th</t>
  </si>
  <si>
    <t>Cody Assenmacher - 6th</t>
  </si>
  <si>
    <t>Nneka Ejere - 16th</t>
  </si>
  <si>
    <t>Ratu Alliance</t>
  </si>
  <si>
    <t>Lauren Harpe - 5th</t>
  </si>
  <si>
    <t>Jaime Lynn Ruiz - 6th</t>
  </si>
  <si>
    <t>Kane Fritzler - 9th</t>
  </si>
  <si>
    <t>Brandon Cottom - 10th</t>
  </si>
  <si>
    <t>Matthew Grinstead-Mayle - 13th</t>
  </si>
  <si>
    <t>Soka Alliance</t>
  </si>
  <si>
    <t>Heidi Lagares-Greenblatt - 2nd</t>
  </si>
  <si>
    <t>Danny Massa - 7th</t>
  </si>
  <si>
    <t>Frannie Marin - 8th</t>
  </si>
  <si>
    <t>Matt Blankinship - 11th</t>
  </si>
  <si>
    <t>Tika Three</t>
  </si>
  <si>
    <t>Yam Yam Arocho - 1st</t>
  </si>
  <si>
    <t>Carolyn Wiger - 3rd</t>
  </si>
  <si>
    <t>Carson Garrett - 4th</t>
  </si>
  <si>
    <t>44. Yam Yam Arocho</t>
  </si>
  <si>
    <t>Yam Yam Arocho</t>
  </si>
  <si>
    <t>Alliance Data</t>
  </si>
  <si>
    <t>Alliance Name</t>
  </si>
  <si>
    <t>Season In</t>
  </si>
  <si>
    <t>Highest Placement In Alliance</t>
  </si>
  <si>
    <t>Lowest Placement In Alliance</t>
  </si>
  <si>
    <t>Average Placement of Alliance</t>
  </si>
  <si>
    <t>40. 0</t>
  </si>
  <si>
    <t>28. 2</t>
  </si>
  <si>
    <t>Comparative Ranking To Other Alliances</t>
  </si>
  <si>
    <t>Tagi Alliance</t>
  </si>
  <si>
    <t>Chuay Gahn Five</t>
  </si>
  <si>
    <t>Ride or Die</t>
  </si>
  <si>
    <t>Sue Hawk - 4th</t>
  </si>
  <si>
    <t>Ted Rogers, Jr - 5th</t>
  </si>
  <si>
    <t>Terry Deitz - 3rd</t>
  </si>
  <si>
    <t>Elyse Umemoto - 15th</t>
  </si>
  <si>
    <t>Matt Quinlan- 16th</t>
  </si>
  <si>
    <t>Matt Quinlan - 16th</t>
  </si>
  <si>
    <t>Michael Skupin/Lisa Whelchel - 2nd</t>
  </si>
  <si>
    <t>Cool Kids Alliance/Three Amigos</t>
  </si>
  <si>
    <t>Ricard Foye - 5th</t>
  </si>
  <si>
    <t>Count of Alliances</t>
  </si>
  <si>
    <t>Alliance Size</t>
  </si>
  <si>
    <t>Highest Average Alliance Per Size</t>
  </si>
  <si>
    <t>Lowest Average Alliance Per Size</t>
  </si>
  <si>
    <t>Average Alliance Size Placement</t>
  </si>
  <si>
    <t>Comparative Ranking To Other Sizes</t>
  </si>
  <si>
    <t>Jalapao Three - 2.33</t>
  </si>
  <si>
    <t>Tagi Alliance, Final Four (9), Aitu Four - 2</t>
  </si>
  <si>
    <t>Outsiders Alliance - Chuay Gahn Five - 3</t>
  </si>
  <si>
    <t>Chapera Alliance - 3.67</t>
  </si>
  <si>
    <t>Stealth R Us (22) - 4.29</t>
  </si>
  <si>
    <t>Naviti Alliance - 6.63</t>
  </si>
  <si>
    <t>Russell's Zapatera Alliance - 15.33</t>
  </si>
  <si>
    <t>Muscle Alliance - 13</t>
  </si>
  <si>
    <t>Cool Kids Alliance/Three Amigos - 11.6</t>
  </si>
  <si>
    <t>Takali Alliance, Triforce - 11.33</t>
  </si>
  <si>
    <t>Goliath Alliance - 7.88</t>
  </si>
  <si>
    <t>Savaii Alliance - 9.86</t>
  </si>
  <si>
    <t>Sum of Count of Alliances</t>
  </si>
  <si>
    <t>Grand Total</t>
  </si>
  <si>
    <t>Min of Average Alliance Size Placement</t>
  </si>
  <si>
    <t>Min of Average Placement of Alliance</t>
  </si>
  <si>
    <t>Chart Data And Analysis</t>
  </si>
  <si>
    <t>Number Of Alliances By Size Summary And Analysis</t>
  </si>
  <si>
    <t>This chart measures the number of alliances by size, ranging from 3 members to 8 members. Alliances are properly defined as groups of three or more players, with unlimited size. There are 104 official alliances in SURVIVOR history, with around 2-4 per season. The overwhelming majority of alliances fall within the lines of 4-6 members, making up 75% of all alliances in history. Three person alliances are somewhat rare in the wider scope of alliances, but they start from Borneo and go as recently as 44. 7 person alliances have been around for a long time as well, starting in The Amazon with the Jaburu Alliance, and going all the way to The Round Table from Heroes vs. Healers vs. Hustlers. Meanwhile, 8 person alliances have been not around for long, and are founded from Ghost Island and go to 42. 5 person alliances appear in seasons 48% of the time, but are commonly found multiple times in a season, like the Drake, Morgan, and Outcast alliances from Pearl Islands.
The largest takeaway from this chart is that the data of average placements based on all alliances of that size is relatively skewed. Since 8 person alliances have only appeared 3 times on SURVIVOR compared to the 31 appearances by 5 person alliances, the averages are obviously going to be skewed. For example, if there was one 8 person alliance and that alliance got a 7 in terms of average placement, but there was only one sample, it would be far different from five 5 person alliance samples that scored a 7.33. Since there was only one opportunity for an 8 person alliance compared to five for 5 person alliances, if the 8 person alliance did better than five 5 person alliances, it might be representative of that particular scenario, but not particularly representative of how strong those numbers of alliances are as a whole.
As a result of this, this sheet will be looking at the average placements of each alliance and each group of alliance by size, but will also look individually at alliances compared to one another and how they fare. The ultimate goal of this sheet is to determine what size of alliance is the most optimal for success in the show; whether a 5 person alliance is better or a 6 person alliance is better, objectively. However, there are subjective standpoints that can be taken into account. Some sizes of alliances do better on different seasons. However, this sheet will involve a more general and objective look and will avert subjective viewpoints on each alliance size.</t>
  </si>
  <si>
    <t>Average Placements By Alliance Size Summary And Analysis</t>
  </si>
  <si>
    <t>This chart is the key data chart to use for this sheet and is indicative of each alliance size's average placement. All alliance sizes fall within the 6-7 average range, which is shocking considering the amount of particular alliances. The worst average placement by size belongs to 3 person alliances with an average placement of 7.67. Some 3 person alliances are both popular and are strong at the game; the Tika Three are a great example of this. Their average is 2.67, and as a 3 person alliance, there is not much better than that, save for the Jalapao Three at 2.33. However, the strength of certain 3 person alliances are bogged down by the results of other 3 person alliances, like Russell's Zapatera Alliance with an average placement of 15.33. This unfortunately muddies the water for 3 person alliances, and make them hit or miss in terms of success. Some 3 person alliances are fantastic and can result in a great placement overall, but it can be incredibly damaging if done incorrectly.
The next two average placements by size belong to 6 and 8 person alliances. These are some of the bigger alliance sizes of the group, representing 22% of all alliances. There have been twenty 6 person alliances in SURVIVOR history. Some of the most influential include the Chapera Alliance from All Stars with an average of 3.67, and The Family, with an average of 4. 6 person alliances are not entirely spread around the board. The worst performing 6 person alliance is the Gota Alliance from Caramoan with an average of 12.17. The highest, meanwhile, is the aforementioned Chapera Alliance. Meanwhile, 8 person alliances make up 2.9% of all alliances in the show's history. The three, the Naviti Alliance, Goliath Alliance, and Advantage Alliance all have an average around 7, with the best being the Naviti Alliance with 6.625, and the worst being the Goliath Alliance with 7.875. The mantra about 8 person alliances are clear; 8 person alliances can be incredibly helpful in getting you further in the game and are mainly composed of players from the same starting tribe, or socially active players from different tribes. However, the volatility of placements in 8 person alliances makes it a secondary goal for players. While a player can win using an 8 person alliance, they are far more likely to lose in the alliance because of its sheer size.
Sizes of 5 and 7 come next, representing 40% of all alliances. There have been 31 5 person alliances, with some including the David Alliance, Outcast Alliance, and the Black Widow Brigade. The strongest 5 person alliance in terms of average placement is the Outsiders Alliance and Chuay Guan Five from Marquesas and Thailand respectively, getting an average of 3. Meanwhile, the worst performing 5 person alliance is the Cool Kids Alliance/Three Amigos from Caramoan, with an average of 11.6. While it appears that the higher end of the spectrum is improving through a downgrade in size, the strongest alliance size challenges this. Meanwhile, there are 11 7 person alliances in history, including the Fei Long Alliance, Bayon Alliance, and the first rendition of Stealth R Us. The best performer is in fact Stealth R Us, with the second worst high average of 4.29. The worst performer is the Savaii alliance at 9.86. 5 person and 7 person alliances are viable based on history, but should also be put on the back burner compared to the most ideal size.
The most ideal alliance size based on data is 4. 4 person alliances make up 26% of all alliances. Some of the most popular alliances of all time come from a size of 4, like the Aitu Four, Russell's Villains Alliance, the Four Horsemen, and the Witches' Coven. The best performers of all 4 person alliances are the Tagi Alliance from Borneo, Final Four Alliance from Vanuatu, and the Aitu Four from Cook Islands, with the best average placement at 2. Meanwhile, the worst alliance is the Muscle Alliance from One World with an average of 13. It must be noted, however, that a decent portion of 4 person alliances involve the prevalence of Final Four alliances, with four iterations of it. Final Four alliances tend to do incredibly well in the show since they are formed towards the tail end of seasons. Thus, this should be taken with a grain of salt. If making a Final Four alliance, you are already in the position to be in a good spot and have likely already been in another alliance. However, 4 person alliances formed somewhat early on (not off the jump) are far stronger, making the ideal play for alliance size a 4 person alliance -&gt; a Final Four alliance.</t>
  </si>
  <si>
    <t xml:space="preserve"> </t>
  </si>
  <si>
    <t>Individual Alliance Average Placement Metrics Summary And Analysis</t>
  </si>
  <si>
    <t>Final Four Alliance (9)</t>
  </si>
  <si>
    <t>Final Four Alliance (21)</t>
  </si>
  <si>
    <t>Final Four Alliance (35)</t>
  </si>
  <si>
    <t>Final Four Alliance (36)</t>
  </si>
  <si>
    <t>Final Four Alliance (41)</t>
  </si>
  <si>
    <t>This chart is a far more expanded version of the general chart and goes in depth on each alliance's average placement. It goes down in terms of average placement strength, with the worst overall being near the top and the best overall being near the bottom. There is a margin of 13 between the worst and best average placement. This chart only selectively shows a few alliances and omits a couple (based on sheer size of data.) As a result, some alliances are not on this chart. For example, the Foa Foa Four, with an average of 2.75, are not on this chart. Some other alliances are not on this chart, and so the data represented is not truly accurate. To find every other alliance not listed, please refer to cell N149 to find the table with all data.</t>
  </si>
  <si>
    <t>Challenge Performance Analytics</t>
  </si>
  <si>
    <t>5x5</t>
  </si>
  <si>
    <t>Seasons Present</t>
  </si>
  <si>
    <t>US32</t>
  </si>
  <si>
    <t>NZ1</t>
  </si>
  <si>
    <t>NZ2</t>
  </si>
  <si>
    <t>Joe Del Campo - R</t>
  </si>
  <si>
    <t>Individual Immunity Challenges Alphabetically - Note: R = Reward, I = Immunity</t>
  </si>
  <si>
    <t>Brad Norris - R</t>
  </si>
  <si>
    <t>A Bit Tipsy</t>
  </si>
  <si>
    <t>US27</t>
  </si>
  <si>
    <t>Tyson Apostol - I</t>
  </si>
  <si>
    <t>US29</t>
  </si>
  <si>
    <t>Jon Misch - I</t>
  </si>
  <si>
    <t>Cydney Gillon - I</t>
  </si>
  <si>
    <t>US34</t>
  </si>
  <si>
    <t>Troyzan Robertson - I</t>
  </si>
  <si>
    <t>US38</t>
  </si>
  <si>
    <t>Chris Underwood - I</t>
  </si>
  <si>
    <t>US40</t>
  </si>
  <si>
    <t>Tony Vlachos - I</t>
  </si>
  <si>
    <t>US41</t>
  </si>
  <si>
    <t>Xander Hastings - I</t>
  </si>
  <si>
    <t>US42</t>
  </si>
  <si>
    <t>Tori Meehan - I</t>
  </si>
  <si>
    <t>AUS6</t>
  </si>
  <si>
    <t>Luke Toki - I</t>
  </si>
  <si>
    <t>AUS7</t>
  </si>
  <si>
    <t>Sharn Coombes - I</t>
  </si>
  <si>
    <t>AUS8</t>
  </si>
  <si>
    <t>Emmett Pugh - I</t>
  </si>
  <si>
    <t>AUS9</t>
  </si>
  <si>
    <t>Khanh Ong - R</t>
  </si>
  <si>
    <t>AUS10</t>
  </si>
  <si>
    <t>Simon Mee - I</t>
  </si>
  <si>
    <t>SA6</t>
  </si>
  <si>
    <t>Werner Joubert - I</t>
  </si>
  <si>
    <t>A Leg Up</t>
  </si>
  <si>
    <t>US22</t>
  </si>
  <si>
    <t>AUS5</t>
  </si>
  <si>
    <t>Shonee Bowtell - I</t>
  </si>
  <si>
    <t>Avi Duckor-Jones - I</t>
  </si>
  <si>
    <t>Around The Bend</t>
  </si>
  <si>
    <t>US11</t>
  </si>
  <si>
    <t>Rafe Judkins - I</t>
  </si>
  <si>
    <t>US18</t>
  </si>
  <si>
    <t>US20</t>
  </si>
  <si>
    <t>Candice Woodcock, Rob Mariano - I</t>
  </si>
  <si>
    <t>US24</t>
  </si>
  <si>
    <t>Kat Edorsson - R</t>
  </si>
  <si>
    <t>US25</t>
  </si>
  <si>
    <t>Abi-Maria Gomes - I</t>
  </si>
  <si>
    <t>US33</t>
  </si>
  <si>
    <t>Jay Starrett - R</t>
  </si>
  <si>
    <t>AUS4</t>
  </si>
  <si>
    <t>Henry Nicholson - I</t>
  </si>
  <si>
    <t>David Genat - I</t>
  </si>
  <si>
    <t>Matt Hancock - I</t>
  </si>
  <si>
    <t>SA4</t>
  </si>
  <si>
    <t>Sean September - I</t>
  </si>
  <si>
    <t>Werner Joubert - R</t>
  </si>
  <si>
    <t>SA8</t>
  </si>
  <si>
    <t>Chappies Chapman - I</t>
  </si>
  <si>
    <t>Balancing Point</t>
  </si>
  <si>
    <t>US21</t>
  </si>
  <si>
    <t>Jud Birza - I</t>
  </si>
  <si>
    <t>Katie Collins - I</t>
  </si>
  <si>
    <t>Ballin' A Jack</t>
  </si>
  <si>
    <t>Natalie Anderson - R</t>
  </si>
  <si>
    <t>US31</t>
  </si>
  <si>
    <t>Joe Anglim - I</t>
  </si>
  <si>
    <t>US39</t>
  </si>
  <si>
    <t>Lauren Beck - I</t>
  </si>
  <si>
    <t>US44</t>
  </si>
  <si>
    <t>Frannie Marin - I</t>
  </si>
  <si>
    <t>Shay Lajoie, Khanh Ong - I</t>
  </si>
  <si>
    <t>Blue Plate Special</t>
  </si>
  <si>
    <t>US2</t>
  </si>
  <si>
    <t>Colby Donaldson - I</t>
  </si>
  <si>
    <t>US3</t>
  </si>
  <si>
    <t>Tom Buchanan - I</t>
  </si>
  <si>
    <t>US4</t>
  </si>
  <si>
    <t>Vecepia Towery - I</t>
  </si>
  <si>
    <t>US7</t>
  </si>
  <si>
    <t>Rupert Boneham - R</t>
  </si>
  <si>
    <t>US12</t>
  </si>
  <si>
    <t>Terry Deitz - R</t>
  </si>
  <si>
    <t>AUS2</t>
  </si>
  <si>
    <t>Imogen Bailey - I</t>
  </si>
  <si>
    <t>SA1</t>
  </si>
  <si>
    <t>Gareth Tjasink - I</t>
  </si>
  <si>
    <t>SA3</t>
  </si>
  <si>
    <t>Kaseran Pillay - I</t>
  </si>
  <si>
    <t>SA9</t>
  </si>
  <si>
    <t>Bob-Bob Buoy</t>
  </si>
  <si>
    <t>US10</t>
  </si>
  <si>
    <t>Tom Westman - I</t>
  </si>
  <si>
    <t>Bone To Pick</t>
  </si>
  <si>
    <t>Alicia Rosa - I</t>
  </si>
  <si>
    <t>Ashley Underwood - I/R</t>
  </si>
  <si>
    <t>Bow Diddley</t>
  </si>
  <si>
    <t>US23</t>
  </si>
  <si>
    <t>Whitney Duncan - I</t>
  </si>
  <si>
    <t>US28</t>
  </si>
  <si>
    <t>Tasha Fox - I</t>
  </si>
  <si>
    <t>Ken McNickle - I</t>
  </si>
  <si>
    <t>Gavin Whitson - I</t>
  </si>
  <si>
    <t>Ricard Foyé - I</t>
  </si>
  <si>
    <t>Ricard Foyé - R</t>
  </si>
  <si>
    <t>Lindsay Dolashewich - I</t>
  </si>
  <si>
    <t>Tessa O'Halloran - I</t>
  </si>
  <si>
    <t>Box Your Mind</t>
  </si>
  <si>
    <t>Ethan Zohn - I</t>
  </si>
  <si>
    <t>Terry Deitz - I</t>
  </si>
  <si>
    <t>Stephen Fishbach - I</t>
  </si>
  <si>
    <t>Michele Fitzgerald - I</t>
  </si>
  <si>
    <t>AUS3</t>
  </si>
  <si>
    <t>Brooke Jowett - I</t>
  </si>
  <si>
    <t>Tom Swartz - I/R</t>
  </si>
  <si>
    <t>Braille Maze</t>
  </si>
  <si>
    <t>US6</t>
  </si>
  <si>
    <t>Jenna Morasca - I</t>
  </si>
  <si>
    <t>US14</t>
  </si>
  <si>
    <t>Yau-Man Chan - I</t>
  </si>
  <si>
    <t>Russell Hantz - I</t>
  </si>
  <si>
    <t>US30</t>
  </si>
  <si>
    <t>Mike Holloway - I</t>
  </si>
  <si>
    <t>Broken China</t>
  </si>
  <si>
    <t>US15</t>
  </si>
  <si>
    <t>Amanda Kimmel - I</t>
  </si>
  <si>
    <t>Parvati Shallow - I</t>
  </si>
  <si>
    <t>Buggin' Out</t>
  </si>
  <si>
    <t>US5</t>
  </si>
  <si>
    <t>Matthew von Ertfelda - I</t>
  </si>
  <si>
    <t>US8</t>
  </si>
  <si>
    <t>Tom Buchanan - R</t>
  </si>
  <si>
    <t>US26</t>
  </si>
  <si>
    <t>Monica Culpepper - I</t>
  </si>
  <si>
    <t>US36</t>
  </si>
  <si>
    <t>Angela Perkins - I</t>
  </si>
  <si>
    <t>AUS1</t>
  </si>
  <si>
    <t>Sophie Woods - I</t>
  </si>
  <si>
    <t>Can't Buoy Me Love</t>
  </si>
  <si>
    <t>Brad Culpepper - I</t>
  </si>
  <si>
    <t>US37</t>
  </si>
  <si>
    <t>Dan Rengering - I</t>
  </si>
  <si>
    <t>Cannonball Run</t>
  </si>
  <si>
    <t>US13</t>
  </si>
  <si>
    <t>Ozzy Lusth - I</t>
  </si>
  <si>
    <t>Malcolm Freberg - I</t>
  </si>
  <si>
    <t>Dave Lipanovic - R</t>
  </si>
  <si>
    <t>Chimney Sweep</t>
  </si>
  <si>
    <t>J.T. Thomas - I</t>
  </si>
  <si>
    <t>Lauren Harpe - I</t>
  </si>
  <si>
    <t>Abbey Holmes - R</t>
  </si>
  <si>
    <t>Hayley Leake - I</t>
  </si>
  <si>
    <t>Jordie Hansen - I</t>
  </si>
  <si>
    <t>Chinese Zodiac Symbols</t>
  </si>
  <si>
    <t>Peih-Gee Law - I</t>
  </si>
  <si>
    <t>Brenda Lowe - I</t>
  </si>
  <si>
    <t>Rob Mariano - I</t>
  </si>
  <si>
    <t>Vytas Baskauskas - I</t>
  </si>
  <si>
    <t>Jeremy Collins - I</t>
  </si>
  <si>
    <t>David Oldfield - I</t>
  </si>
  <si>
    <t>Mike Sparrow - R</t>
  </si>
  <si>
    <t>SA2</t>
  </si>
  <si>
    <t>Mandla Mbau - R</t>
  </si>
  <si>
    <t>SA7</t>
  </si>
  <si>
    <t>Durão Mariano - I</t>
  </si>
  <si>
    <t>Choose Your Weapon</t>
  </si>
  <si>
    <t>Alex Bell - R</t>
  </si>
  <si>
    <t>US19</t>
  </si>
  <si>
    <t>Mick Trimming - I</t>
  </si>
  <si>
    <t>Cling Ons</t>
  </si>
  <si>
    <t>Jericho Malabonga - R</t>
  </si>
  <si>
    <t>SA5</t>
  </si>
  <si>
    <t>Sivu Xabanisa - I</t>
  </si>
  <si>
    <t>Coconut Juice</t>
  </si>
  <si>
    <t>Jim Rice - I</t>
  </si>
  <si>
    <t>Tom Paterson - I</t>
  </si>
  <si>
    <t>Crocodile Rock</t>
  </si>
  <si>
    <t>Chelsea Townsend, Domenick Abbate - I</t>
  </si>
  <si>
    <t>Noura Salman - I</t>
  </si>
  <si>
    <t>US43</t>
  </si>
  <si>
    <t>Karla Cruz Godoy, Cody Assenmacher - I</t>
  </si>
  <si>
    <t>Janine Allis - I</t>
  </si>
  <si>
    <t>Cube Crisis</t>
  </si>
  <si>
    <t>Ted Rogers, Jr. - I</t>
  </si>
  <si>
    <t>Jacinda Louw - R</t>
  </si>
  <si>
    <t>Ashley Hayden - I</t>
  </si>
  <si>
    <t>Dizzy Gillespie</t>
  </si>
  <si>
    <t>Brenda Lowe - R</t>
  </si>
  <si>
    <t>Kelley Wentworth - R</t>
  </si>
  <si>
    <t>Davie Rickenbacker - I</t>
  </si>
  <si>
    <t>Izak Davel - R</t>
  </si>
  <si>
    <t>Dizzy Miss Lizzy</t>
  </si>
  <si>
    <t>Dean Kowalski - I</t>
  </si>
  <si>
    <t>Omar Zaheer - R</t>
  </si>
  <si>
    <t>Noelle Lambert - R</t>
  </si>
  <si>
    <t>Frannie Marin - R</t>
  </si>
  <si>
    <t>Do-It-Yourself Challenge</t>
  </si>
  <si>
    <t>Cobus Hugo - I</t>
  </si>
  <si>
    <t>Mmaba Molefe - I</t>
  </si>
  <si>
    <t>Domino Effect</t>
  </si>
  <si>
    <t>US17</t>
  </si>
  <si>
    <t>Ken Hoang - I</t>
  </si>
  <si>
    <t>Julia Sokolowski - I</t>
  </si>
  <si>
    <t>Andrea Boehlke - I</t>
  </si>
  <si>
    <t>Michelle Dougan - I/R</t>
  </si>
  <si>
    <t>Mark Wales - I</t>
  </si>
  <si>
    <t>Matt Sharp - I</t>
  </si>
  <si>
    <t>This data sheet is primarily responsible for determining how alliance size has an impact on the success of particular SURVIVOR players. In particular, this sheet will look at all known alliances of three or more players and determine each individual member's success to determine the success of individual sizes of an alliance. This dataset is updated concurrently with every alliance in the show This sheet will answer this question; what alliance size is statistically best on SURVIVOR? All alliances found and used for this data can be found on the Survivor Fandom Wiki online. If there are any alliances you feel should be on this sheet, please feel free to reach out, and they will be added ASAP. This dataset is updated concurrently with every alliance on the show and can be used at any time to determine what alliance size is best for SURVIVOR statisically. This uses math functions, tables, charts, and referencing. Note: All alliances do not include affiliates, only members both former and current.</t>
  </si>
  <si>
    <t>Drop A Log</t>
  </si>
  <si>
    <t>Jaison Robinson - I</t>
  </si>
  <si>
    <t>John Cochran - I</t>
  </si>
  <si>
    <t>End Of The Line</t>
  </si>
  <si>
    <t>US1</t>
  </si>
  <si>
    <t>Gervase Peterson - I</t>
  </si>
  <si>
    <t>Colby Donaldson - R</t>
  </si>
  <si>
    <t>Eve 6</t>
  </si>
  <si>
    <t>Mike Gabler - I</t>
  </si>
  <si>
    <t>Fallen Comrades</t>
  </si>
  <si>
    <t>Kelly Wiglesworth - I</t>
  </si>
  <si>
    <t>Kim Johnson - I</t>
  </si>
  <si>
    <t>Missy Payne - R</t>
  </si>
  <si>
    <t>Fast Fire</t>
  </si>
  <si>
    <t>Richard Hatch - I</t>
  </si>
  <si>
    <t>Robert DeCanio - I</t>
  </si>
  <si>
    <t>Lex van den Berghe - I</t>
  </si>
  <si>
    <t>Susie Smith - I</t>
  </si>
  <si>
    <t>Tess Fahey - R</t>
  </si>
  <si>
    <t>Bonnie Henna - I</t>
  </si>
  <si>
    <t>Fire And Water</t>
  </si>
  <si>
    <t>Shay Lajoie - I</t>
  </si>
  <si>
    <t>Gys de Villiers - R</t>
  </si>
  <si>
    <t>Fire Fighter</t>
  </si>
  <si>
    <t>Parvati Shallow - R</t>
  </si>
  <si>
    <t>Jerri Manthey - R</t>
  </si>
  <si>
    <t>Ron Clark - R</t>
  </si>
  <si>
    <t>Get A Grip</t>
  </si>
  <si>
    <t>US9</t>
  </si>
  <si>
    <t>Twila Tanner - I</t>
  </si>
  <si>
    <t>Tai Trang - I</t>
  </si>
  <si>
    <t>Denise Stapley, Jeremy Collins - I</t>
  </si>
  <si>
    <t>Danielle DiLorenzo - I</t>
  </si>
  <si>
    <t>Kylie Evans - I</t>
  </si>
  <si>
    <t>Tess Fahey - I</t>
  </si>
  <si>
    <t>Letshego Moshoeu - I</t>
  </si>
  <si>
    <t>Kiran Naidoo - I</t>
  </si>
  <si>
    <t>Get Barreled</t>
  </si>
  <si>
    <t>Sebastian Noel - R</t>
  </si>
  <si>
    <t>Lindsay Dolashewich - R</t>
  </si>
  <si>
    <t>Andrew Ucles, Wai Chim, Emmett Pugh, Rachel Downie - I/R</t>
  </si>
  <si>
    <t>Dani Beale - R</t>
  </si>
  <si>
    <t>Winner(s)</t>
  </si>
  <si>
    <t>Gimme Three Steps</t>
  </si>
  <si>
    <t>US35</t>
  </si>
  <si>
    <t>Chrissy Hofbeck - I</t>
  </si>
  <si>
    <t>Dean Kowalski - I/R</t>
  </si>
  <si>
    <t>Erika Casupanan - I/R</t>
  </si>
  <si>
    <t>Chappies Chapman - I/R</t>
  </si>
  <si>
    <t>Great Escape Run</t>
  </si>
  <si>
    <t>John Kenney - I</t>
  </si>
  <si>
    <t>Boo Bernis - I</t>
  </si>
  <si>
    <t>US16</t>
  </si>
  <si>
    <t>Erik Reichenbach - I</t>
  </si>
  <si>
    <t>Spencer Bledsoe - I</t>
  </si>
  <si>
    <t>Hands On A Hard Idol</t>
  </si>
  <si>
    <t>Neleh Dennis - I</t>
  </si>
  <si>
    <t>Kristie Bennett - I</t>
  </si>
  <si>
    <t>Jericho Malabonga - I</t>
  </si>
  <si>
    <t>Hanging By A Thread</t>
  </si>
  <si>
    <t>Dreamz Herd - I</t>
  </si>
  <si>
    <t>Pia Miranda - I</t>
  </si>
  <si>
    <t>Dino Paulo - I</t>
  </si>
  <si>
    <t>Hold Your Own</t>
  </si>
  <si>
    <t>Holy Hell</t>
  </si>
  <si>
    <t>Baden Gilbert - I</t>
  </si>
  <si>
    <t>House Of Cards</t>
  </si>
  <si>
    <t>Jerri Manthey - I</t>
  </si>
  <si>
    <t>John Cochran - R</t>
  </si>
  <si>
    <t>Aubry Bracco - I</t>
  </si>
  <si>
    <t>Cassidy Clark - I</t>
  </si>
  <si>
    <t>Lee Carseldine - I</t>
  </si>
  <si>
    <t>Mike Venter - I</t>
  </si>
  <si>
    <t>House Of The Holey</t>
  </si>
  <si>
    <t>Liz Parnov - I</t>
  </si>
  <si>
    <t>Dino Paulo - I/R</t>
  </si>
  <si>
    <t>Jail Break</t>
  </si>
  <si>
    <t>Brian Lake - R</t>
  </si>
  <si>
    <t>Keel Hauling</t>
  </si>
  <si>
    <t>Burton Roberts - I</t>
  </si>
  <si>
    <t>Reynold Toepfer - I</t>
  </si>
  <si>
    <t>Keep On Your Toes</t>
  </si>
  <si>
    <t>Tyler Fredrickson - I</t>
  </si>
  <si>
    <t>Aurora McCreary - I</t>
  </si>
  <si>
    <t>Evvie Jagoda - I</t>
  </si>
  <si>
    <t>Jennah-Louise Salkeld - I</t>
  </si>
  <si>
    <t>Phil Dickson - I</t>
  </si>
  <si>
    <t>Kitty Litter</t>
  </si>
  <si>
    <t>Holly Hoffman, Jill Behm - I</t>
  </si>
  <si>
    <t>Zayn Nabbi - R</t>
  </si>
  <si>
    <t>Know Your Loved One</t>
  </si>
  <si>
    <t>Lex van den Berghe - R</t>
  </si>
  <si>
    <t>Jon Dalton - R</t>
  </si>
  <si>
    <t>Know Your Ropes</t>
  </si>
  <si>
    <t>Nick Brown - I</t>
  </si>
  <si>
    <t>Mat Rogers - R</t>
  </si>
  <si>
    <t>Last Gasp</t>
  </si>
  <si>
    <t>Jason Siska - I</t>
  </si>
  <si>
    <t>Karla Cruz Godoy, Owen Knight - I</t>
  </si>
  <si>
    <t>Yam Yam Arocho - I</t>
  </si>
  <si>
    <t>Mat Rogers - I</t>
  </si>
  <si>
    <t>Rob Bentele - I</t>
  </si>
  <si>
    <t>Letter Hunt</t>
  </si>
  <si>
    <t>Ted Rogers, Jr. - R</t>
  </si>
  <si>
    <t>Chase Rice - R</t>
  </si>
  <si>
    <t>Log Jam</t>
  </si>
  <si>
    <t>Marcus Lehman - I</t>
  </si>
  <si>
    <t>Grant Mattos - I/R</t>
  </si>
  <si>
    <t>Mask Match</t>
  </si>
  <si>
    <t>Bob Crowley - I</t>
  </si>
  <si>
    <t>Mayan Pizza</t>
  </si>
  <si>
    <t>Chelsea Meissner - R</t>
  </si>
  <si>
    <t>Memory</t>
  </si>
  <si>
    <t>Renee Clarke - R</t>
  </si>
  <si>
    <t>Might As Well Jump</t>
  </si>
  <si>
    <t>Mind Field</t>
  </si>
  <si>
    <t>Locky Gilbert - I/R</t>
  </si>
  <si>
    <t>Izak Davel - I</t>
  </si>
  <si>
    <t>Mud Bungee</t>
  </si>
  <si>
    <t>Dave Johnson - R</t>
  </si>
  <si>
    <t>Mzi Tyhokolo - I</t>
  </si>
  <si>
    <t>Mud Pack</t>
  </si>
  <si>
    <t>Kelly Wiglesworth - R</t>
  </si>
  <si>
    <t>Tony Vlachos - R</t>
  </si>
  <si>
    <t>Avi Duckor-Jones - R</t>
  </si>
  <si>
    <t>Zavion Kotze - R</t>
  </si>
  <si>
    <t>Mud Slinging</t>
  </si>
  <si>
    <t>Malcolm Freberg - R</t>
  </si>
  <si>
    <t>Rob Bentele - I/R</t>
  </si>
  <si>
    <t>Nut Cracker</t>
  </si>
  <si>
    <t>John Fincher, Laura Morett - I</t>
  </si>
  <si>
    <t>Kaseran Pillay - R</t>
  </si>
  <si>
    <t>On The Pull</t>
  </si>
  <si>
    <t>Shaun Hampson - I</t>
  </si>
  <si>
    <t>Operation Balance Build</t>
  </si>
  <si>
    <t>Kim Spradlin - I</t>
  </si>
  <si>
    <t>Tom Swartz - I</t>
  </si>
  <si>
    <t>Out On A Limb</t>
  </si>
  <si>
    <t>Colleen Haskell - R</t>
  </si>
  <si>
    <t>Sophie Clarke - I</t>
  </si>
  <si>
    <t>Jaclyn Schultz - I</t>
  </si>
  <si>
    <t>Kelley Wentworth - I</t>
  </si>
  <si>
    <t>Rick Devens - I</t>
  </si>
  <si>
    <t>Michele Fitzgerald - I/R</t>
  </si>
  <si>
    <t>Mike Turner - I/R</t>
  </si>
  <si>
    <t>Jeanne Michel - I</t>
  </si>
  <si>
    <t>Shane Hattingh - I</t>
  </si>
  <si>
    <t>Over-Extended</t>
  </si>
  <si>
    <t>Kelley Wentworth, Keith Nale - I</t>
  </si>
  <si>
    <t>David Wright - I</t>
  </si>
  <si>
    <t>Cole Medders - I</t>
  </si>
  <si>
    <t>Kellyn Bechtold - I</t>
  </si>
  <si>
    <t>Julie Rosenberg - I</t>
  </si>
  <si>
    <t>Owen Knight - I</t>
  </si>
  <si>
    <t>Brandon Cottom, Frannie Marin - I</t>
  </si>
  <si>
    <t>Paddle Out</t>
  </si>
  <si>
    <t>Michael Skupin - I</t>
  </si>
  <si>
    <t>Keith Nale - I</t>
  </si>
  <si>
    <t>Alec Merlino - I</t>
  </si>
  <si>
    <t>Jordie Hansen - R</t>
  </si>
  <si>
    <t>Adam O'Brien - I</t>
  </si>
  <si>
    <t>Ziggy Zagame - I</t>
  </si>
  <si>
    <t>Jordan Schmidt - I</t>
  </si>
  <si>
    <t>Eve Clarke - R</t>
  </si>
  <si>
    <t>Rob Bentele - R</t>
  </si>
  <si>
    <t>Chappies Chapman - R</t>
  </si>
  <si>
    <t>Perch</t>
  </si>
  <si>
    <t>Keith Famie - I</t>
  </si>
  <si>
    <t>Deena Bennett - I</t>
  </si>
  <si>
    <t>Lorette Mostert - I</t>
  </si>
  <si>
    <t>Pinball Wizard</t>
  </si>
  <si>
    <t>Planks A Lot</t>
  </si>
  <si>
    <t>Simon Black - I</t>
  </si>
  <si>
    <t>Pole Dancing</t>
  </si>
  <si>
    <t>Stephenie LaGrossa - I</t>
  </si>
  <si>
    <t>Keith Nale - R</t>
  </si>
  <si>
    <t>Davie Rickenbacker - R</t>
  </si>
  <si>
    <t>Wai Chim - I</t>
  </si>
  <si>
    <t>Pot Head</t>
  </si>
  <si>
    <t>Gary Hogeboom - I</t>
  </si>
  <si>
    <t>Zavion Kotze - I</t>
  </si>
  <si>
    <t>Anesu Mbizvo - I</t>
  </si>
  <si>
    <t>Nicole Wilmans - R</t>
  </si>
  <si>
    <t>Push Me, Pull You</t>
  </si>
  <si>
    <t>Jane Bright, Jud Birza - I</t>
  </si>
  <si>
    <t>Adam Klein - I</t>
  </si>
  <si>
    <t>David Genat - R</t>
  </si>
  <si>
    <t>Puzzle Dig</t>
  </si>
  <si>
    <t>Aras Baskauskas - I</t>
  </si>
  <si>
    <t>Matt Tarrant - R</t>
  </si>
  <si>
    <t>Q And A</t>
  </si>
  <si>
    <t>Rob Cesternino - I</t>
  </si>
  <si>
    <t>Cirie Fields - R</t>
  </si>
  <si>
    <t>Cassandra Franklin - R</t>
  </si>
  <si>
    <t>Alexis Jones - R</t>
  </si>
  <si>
    <t>Stephen Fishbach - R</t>
  </si>
  <si>
    <t>Kim Spradlin - R</t>
  </si>
  <si>
    <t>Nicolle Dickson - R</t>
  </si>
  <si>
    <t>Flick Egginton - R</t>
  </si>
  <si>
    <t>Barb Raos - R</t>
  </si>
  <si>
    <t>Dyke Higginson - R</t>
  </si>
  <si>
    <t>Sade Giliberti - R</t>
  </si>
  <si>
    <t>Race To Shore</t>
  </si>
  <si>
    <t>Ian Rosenberger, Jolanda Jones - I</t>
  </si>
  <si>
    <t>Yau-Man Chan, Kathy Sleckman - I</t>
  </si>
  <si>
    <t>Marcus Lehman, GC Brown - I</t>
  </si>
  <si>
    <t>Jose Maasdam - R</t>
  </si>
  <si>
    <t>Ram-Ball On</t>
  </si>
  <si>
    <t>Gervase Peterson - I/R</t>
  </si>
  <si>
    <t>Brian Lake - I</t>
  </si>
  <si>
    <t>Barb Raos - I/R</t>
  </si>
  <si>
    <t>Ring Leader</t>
  </si>
  <si>
    <t>Alison Raybould - I</t>
  </si>
  <si>
    <t>Tessa O'Halloran - R</t>
  </si>
  <si>
    <t>Rock Bottom</t>
  </si>
  <si>
    <t>Paschal English - R</t>
  </si>
  <si>
    <t>Guy Leech - R</t>
  </si>
  <si>
    <t>Roller Ball</t>
  </si>
  <si>
    <t>Natalie Tenerelli - I</t>
  </si>
  <si>
    <t>Nick Maiorano - I</t>
  </si>
  <si>
    <t>Chelsea Townsend - I</t>
  </si>
  <si>
    <t>Mike White - I</t>
  </si>
  <si>
    <t>Aaron Meredith - I</t>
  </si>
  <si>
    <t>Mike Sparrow - I</t>
  </si>
  <si>
    <t>Running Down A Dream</t>
  </si>
  <si>
    <t>Gavin Whitson - R</t>
  </si>
  <si>
    <t>Nick Wilson - I</t>
  </si>
  <si>
    <t>Rusty Gates</t>
  </si>
  <si>
    <t>Jay Starrett - I</t>
  </si>
  <si>
    <t>Marian de Vos - I</t>
  </si>
  <si>
    <t>Sea Legs</t>
  </si>
  <si>
    <t>This data sheet is primarily responsible for determining performance in individual immunity/reward challenges across every season of SURVIVOR in comparison to gender. Individual challenges are defined as either immunity or reward challenges where one person solely won the challenge, one/two of each gender, or two players in a double tribal twist. This dataset is updated concurrently with challenge that reoccurs in the show. This will take a look at every individual immunity challenge that is named in SURVIVOR history AND has two or more occurrences in the show's history. All data pulled in this sheet will be from the Survivor Fandom Wiki found online. This sheet is not meant to be used as a decision-making piece, but is more informational in nature. Note: this will include INTERNATIONAL seasons of SURVIVOR as well, but only for Australian Survivor, Survivor South Africa, and Survivor New Zealand. This is the only data sheet in this set that includes international versions because some challenges would not be considered recurring without them.</t>
  </si>
  <si>
    <t>Kathy Vavrick-O'Brien - I</t>
  </si>
  <si>
    <t>Lillian Morris - I</t>
  </si>
  <si>
    <t>Andrea Boehlke - I/R</t>
  </si>
  <si>
    <t>Woo Hwang - I</t>
  </si>
  <si>
    <t>Hai Giang, Jonathan Young - I</t>
  </si>
  <si>
    <t>Sciona Browne - I</t>
  </si>
  <si>
    <t>Justin Melvey - I</t>
  </si>
  <si>
    <t>Toni Tebbutt - I</t>
  </si>
  <si>
    <t>Shoot 'n' Shuffle</t>
  </si>
  <si>
    <t>Chris Daugherty - I</t>
  </si>
  <si>
    <t>Debbie Beebe - I</t>
  </si>
  <si>
    <t>Shooting Gallery</t>
  </si>
  <si>
    <t>Denise Martin - R</t>
  </si>
  <si>
    <t>Simmotion</t>
  </si>
  <si>
    <t>Natalie Anderson - I</t>
  </si>
  <si>
    <t>Romeo Escobar - I</t>
  </si>
  <si>
    <t>Harry Hills - I</t>
  </si>
  <si>
    <t>Heidi Lagares-Greenblatt - I</t>
  </si>
  <si>
    <t>Jeanne Michel - I/R</t>
  </si>
  <si>
    <t>Snag, Drag, And Bag</t>
  </si>
  <si>
    <t>Coach Wade - I</t>
  </si>
  <si>
    <t>Snake Island Relay</t>
  </si>
  <si>
    <t>Kathy Vavrick-O'Brien, Rob Mariano - I</t>
  </si>
  <si>
    <t>Angie Bennett - I</t>
  </si>
  <si>
    <t>Splash Back</t>
  </si>
  <si>
    <t>Jane Bright - I</t>
  </si>
  <si>
    <t>Dawn Meehan - I</t>
  </si>
  <si>
    <t>Monica Culpepper - I/R</t>
  </si>
  <si>
    <t>Carolyn Rivera - I</t>
  </si>
  <si>
    <t>Aaron Meredith, Missy Byrd - I</t>
  </si>
  <si>
    <t>Sam Webb - R</t>
  </si>
  <si>
    <t>Shay Lajoie - R</t>
  </si>
  <si>
    <t>Katinka Oosthuizen - I</t>
  </si>
  <si>
    <t>Spoon Man</t>
  </si>
  <si>
    <t>Squared Off</t>
  </si>
  <si>
    <t>Kathy Vavrick-O'Brien - R</t>
  </si>
  <si>
    <t>Rudy Boesch - I</t>
  </si>
  <si>
    <t>Danni Boatwright - I</t>
  </si>
  <si>
    <t>Lance Brooks - R</t>
  </si>
  <si>
    <t>Squatty Probst</t>
  </si>
  <si>
    <t>Lauren Rimmer - I</t>
  </si>
  <si>
    <t>Nina Twine - I</t>
  </si>
  <si>
    <t>Buhle Madlala - I/R</t>
  </si>
  <si>
    <t>Stacked Up</t>
  </si>
  <si>
    <t>Michele Fitzgerald - R</t>
  </si>
  <si>
    <t>Domenick Abbate - I</t>
  </si>
  <si>
    <t>Liz Parnov - R</t>
  </si>
  <si>
    <t>Station By Station</t>
  </si>
  <si>
    <t>Aras Baskauskas - R</t>
  </si>
  <si>
    <t>Brett Clouser - I</t>
  </si>
  <si>
    <t>Phil Dickson - I/R</t>
  </si>
  <si>
    <t>Step On Up</t>
  </si>
  <si>
    <t>Brian Heidik - I</t>
  </si>
  <si>
    <t>Nick Wilson - I/R</t>
  </si>
  <si>
    <t>Flick Palmateer - I</t>
  </si>
  <si>
    <t>Graham Jenneker - I/R</t>
  </si>
  <si>
    <t>Stomp-ede</t>
  </si>
  <si>
    <t>Ethan Zohn - R</t>
  </si>
  <si>
    <t>Strung Out</t>
  </si>
  <si>
    <t>Carter Williams - I</t>
  </si>
  <si>
    <t>Ciera Eastin - I/R</t>
  </si>
  <si>
    <t>Owen Knight - I/R</t>
  </si>
  <si>
    <t>Danté de Villiers - R</t>
  </si>
  <si>
    <t>Survivor Pentathlon</t>
  </si>
  <si>
    <t>Sean Rector - R</t>
  </si>
  <si>
    <t>Matthew von Ertfelda - R</t>
  </si>
  <si>
    <t>Burton Roberts - R</t>
  </si>
  <si>
    <t>Rob Mariano - R</t>
  </si>
  <si>
    <t>Julie Berry - R</t>
  </si>
  <si>
    <t>Ian Rosenberger - I</t>
  </si>
  <si>
    <t>Cindy Hall - R</t>
  </si>
  <si>
    <t>Grant Mattos - I</t>
  </si>
  <si>
    <t>Albert Destrade - I/R</t>
  </si>
  <si>
    <t>Survivor Quiz Show</t>
  </si>
  <si>
    <t>Sean Kenniff - R</t>
  </si>
  <si>
    <t>Tammy Leitner - I</t>
  </si>
  <si>
    <t>Helen Glover - I</t>
  </si>
  <si>
    <t>Rupert Boneham - I</t>
  </si>
  <si>
    <t>Leann Slaby - R</t>
  </si>
  <si>
    <t>Gregg Carey - R</t>
  </si>
  <si>
    <t>Peih-Gee Law - R</t>
  </si>
  <si>
    <t>Jak Thomas - I</t>
  </si>
  <si>
    <t>Swahili Scramble</t>
  </si>
  <si>
    <t>Darrah Johnson - I</t>
  </si>
  <si>
    <t>The Ball Drop</t>
  </si>
  <si>
    <t>Danny McCray - I</t>
  </si>
  <si>
    <t>Kaysha Whakarau - R</t>
  </si>
  <si>
    <t>The Game Is Afoot</t>
  </si>
  <si>
    <t>Baylor Wilson - I</t>
  </si>
  <si>
    <t>Lauren Rimmer - R</t>
  </si>
  <si>
    <t>Simon Mee - R</t>
  </si>
  <si>
    <t>The Home Stretch</t>
  </si>
  <si>
    <t>Mike Holloway - R</t>
  </si>
  <si>
    <t>Aubry Bracco - R</t>
  </si>
  <si>
    <t>The Maze</t>
  </si>
  <si>
    <t>Amber Brkich - I</t>
  </si>
  <si>
    <t>Wendell Holland - I/R</t>
  </si>
  <si>
    <t>The Obstacle Course</t>
  </si>
  <si>
    <t>Brian Heidik - R</t>
  </si>
  <si>
    <t>David Wright - I/R</t>
  </si>
  <si>
    <t>Josh Millgate - I</t>
  </si>
  <si>
    <t>Matt Sharp - R</t>
  </si>
  <si>
    <t>This Much</t>
  </si>
  <si>
    <t>Kyle Jason - I</t>
  </si>
  <si>
    <t>Ashley Nolan - I</t>
  </si>
  <si>
    <t>Eve Clarke - I</t>
  </si>
  <si>
    <t>Total Recall</t>
  </si>
  <si>
    <t>Eliza Orlins - R</t>
  </si>
  <si>
    <t>Frosti Zernow - I</t>
  </si>
  <si>
    <t>Rob Dickson - I</t>
  </si>
  <si>
    <t>Buhle Madlala - I</t>
  </si>
  <si>
    <t>Troubled Water</t>
  </si>
  <si>
    <t>Uncomfortably Numb</t>
  </si>
  <si>
    <t>Reed Kelly - I</t>
  </si>
  <si>
    <t>Christian Hubicki - I</t>
  </si>
  <si>
    <t>Erika Casupanan, Xander Hastings - I</t>
  </si>
  <si>
    <t>Jonathan Young - I</t>
  </si>
  <si>
    <t>Vampire Bats</t>
  </si>
  <si>
    <t>Vertically Challenged</t>
  </si>
  <si>
    <t>Vertigo</t>
  </si>
  <si>
    <t>Kass McQuillen - I</t>
  </si>
  <si>
    <t>Peter Conte - I</t>
  </si>
  <si>
    <t>Walk The Plank</t>
  </si>
  <si>
    <t>Vanessa Marawa - I</t>
  </si>
  <si>
    <t>Wall To Wall</t>
  </si>
  <si>
    <t>Well Stacked</t>
  </si>
  <si>
    <t>Vanessa Marawa - R</t>
  </si>
  <si>
    <t>When It Rains, It Pours</t>
  </si>
  <si>
    <t>Teresa Cooper - I</t>
  </si>
  <si>
    <t>Shii Ann Huang - I</t>
  </si>
  <si>
    <t>Chelsea Meissner - I</t>
  </si>
  <si>
    <t>Will Wahl - I</t>
  </si>
  <si>
    <t>Denise Stapley, Tony Vlachos - I</t>
  </si>
  <si>
    <t>Daisy Richardson - R</t>
  </si>
  <si>
    <t>Steffi Brink - I</t>
  </si>
  <si>
    <t>Will It Go Round</t>
  </si>
  <si>
    <t>Desi Williams - I</t>
  </si>
  <si>
    <t>Noura Salman, Elaine Stott - I</t>
  </si>
  <si>
    <t>El Rowland - I</t>
  </si>
  <si>
    <t>Locky Gilbert - I</t>
  </si>
  <si>
    <t>Palesa Tau - R</t>
  </si>
  <si>
    <t>Will Power</t>
  </si>
  <si>
    <t>Phil Dickson, Toni Tebbutt - R</t>
  </si>
  <si>
    <t>Witch Hunt</t>
  </si>
  <si>
    <t>Eliza Orlins - I</t>
  </si>
  <si>
    <t>Wrist Assured</t>
  </si>
  <si>
    <t>Jesse Hansen - I</t>
  </si>
  <si>
    <t>You Shook Me</t>
  </si>
  <si>
    <t>Phil Dickson - R</t>
  </si>
  <si>
    <t>Challenge Name</t>
  </si>
  <si>
    <t>Number Of Occurrences</t>
  </si>
  <si>
    <t>Total Amount Of Winners</t>
  </si>
  <si>
    <t>Number Of Reward Iterations</t>
  </si>
  <si>
    <t>Number Of Immunity Iterations</t>
  </si>
  <si>
    <t>Number Of Immunity and Reward Iterations</t>
  </si>
  <si>
    <t>Number Of Male Winners</t>
  </si>
  <si>
    <t>Number Of Female Winners</t>
  </si>
  <si>
    <t>% Male Winners</t>
  </si>
  <si>
    <t>% Female Winners</t>
  </si>
  <si>
    <t>Sash Lenahan - I</t>
  </si>
  <si>
    <t>Greg Buis - I</t>
  </si>
  <si>
    <t>Individual Wins Per Season Of SURVIVOR</t>
  </si>
  <si>
    <t>Sum of % Male Winners</t>
  </si>
  <si>
    <t>Sum of % Female Winners</t>
  </si>
  <si>
    <t>Sum of Number Of Occurrences</t>
  </si>
  <si>
    <t>Sum of Total Amount Of Winners</t>
  </si>
  <si>
    <t>Occurrences and Winners</t>
  </si>
  <si>
    <t>Values</t>
  </si>
  <si>
    <t>Male Win % vs. Female Win % By Challenge Summary and Analysis</t>
  </si>
  <si>
    <t>Sum of Male Win %</t>
  </si>
  <si>
    <t>Sum of Female Win %</t>
  </si>
  <si>
    <t>Demographic</t>
  </si>
  <si>
    <t>Male US</t>
  </si>
  <si>
    <t>Female US</t>
  </si>
  <si>
    <t>Male AUS</t>
  </si>
  <si>
    <t>Female AUS</t>
  </si>
  <si>
    <t>Male SA</t>
  </si>
  <si>
    <t>Female SA</t>
  </si>
  <si>
    <t>Male NZ</t>
  </si>
  <si>
    <t>Female NZ</t>
  </si>
  <si>
    <t>Sum of Number Of Winners</t>
  </si>
  <si>
    <t>US1 - 11</t>
  </si>
  <si>
    <t>US2 - 10</t>
  </si>
  <si>
    <t>US3 - 12</t>
  </si>
  <si>
    <t>US4 - 9</t>
  </si>
  <si>
    <t>US5 - 7</t>
  </si>
  <si>
    <t>US6 - 11</t>
  </si>
  <si>
    <t>US7 - 7</t>
  </si>
  <si>
    <t>US8 - 11</t>
  </si>
  <si>
    <t>US9 - 9</t>
  </si>
  <si>
    <t>US10 - 7</t>
  </si>
  <si>
    <t>US11 - 9</t>
  </si>
  <si>
    <t>US12 - 11</t>
  </si>
  <si>
    <t>US13 - 6</t>
  </si>
  <si>
    <t>US14 - 5</t>
  </si>
  <si>
    <t>US15 - 6</t>
  </si>
  <si>
    <t>US16 - 9</t>
  </si>
  <si>
    <t>US17 - 7</t>
  </si>
  <si>
    <t>US18 - 9</t>
  </si>
  <si>
    <t>US19 - 6</t>
  </si>
  <si>
    <t>US20 - 8</t>
  </si>
  <si>
    <t>US21 - 9</t>
  </si>
  <si>
    <t>US22 - 9</t>
  </si>
  <si>
    <t>US23 - 8</t>
  </si>
  <si>
    <t>US24 - 11</t>
  </si>
  <si>
    <t>US25 - 7</t>
  </si>
  <si>
    <t>US26 - 10</t>
  </si>
  <si>
    <t>US27 - 9</t>
  </si>
  <si>
    <t>US28 - 11</t>
  </si>
  <si>
    <t>US29 - 11</t>
  </si>
  <si>
    <t>US30 - 7</t>
  </si>
  <si>
    <t>US31 - 12</t>
  </si>
  <si>
    <t>US32 - 10</t>
  </si>
  <si>
    <t>US33 - 11</t>
  </si>
  <si>
    <t>US34 - 10</t>
  </si>
  <si>
    <t>US35 - 9</t>
  </si>
  <si>
    <t>US36 - 8</t>
  </si>
  <si>
    <t>US37 - 10</t>
  </si>
  <si>
    <t>US38 - 11</t>
  </si>
  <si>
    <t>US39 - 9</t>
  </si>
  <si>
    <t>US40 - 10</t>
  </si>
  <si>
    <t>US41 - 9</t>
  </si>
  <si>
    <t>US42 - 11</t>
  </si>
  <si>
    <t>US43 - 9</t>
  </si>
  <si>
    <t>US44 - 7</t>
  </si>
  <si>
    <t>AUS1 - 4</t>
  </si>
  <si>
    <t>AUS2 - 7</t>
  </si>
  <si>
    <t>AUS3 - 13</t>
  </si>
  <si>
    <t>AUS4 - 10</t>
  </si>
  <si>
    <t>AUS5 - 12</t>
  </si>
  <si>
    <t>AUS6 - 13</t>
  </si>
  <si>
    <t>AUS7 - 12</t>
  </si>
  <si>
    <t>AUS8 - 9</t>
  </si>
  <si>
    <t>AUS9 - 12</t>
  </si>
  <si>
    <t>AUS10 - 15</t>
  </si>
  <si>
    <t>NZ1 - 12</t>
  </si>
  <si>
    <t>NZ2 - 13</t>
  </si>
  <si>
    <t>SA1 - 9</t>
  </si>
  <si>
    <t>SA2 - 6</t>
  </si>
  <si>
    <t>SA3 - 14</t>
  </si>
  <si>
    <t>SA4 - 5</t>
  </si>
  <si>
    <t>SA5 - 6</t>
  </si>
  <si>
    <t>SA6 - 11</t>
  </si>
  <si>
    <t>SA7 - 12</t>
  </si>
  <si>
    <t>SA8 - 11</t>
  </si>
  <si>
    <t>SA9 - 11</t>
  </si>
  <si>
    <t>Average of Win Percentage by Demographic</t>
  </si>
  <si>
    <t>Alliance Size Analytics</t>
  </si>
  <si>
    <t>Male Win % vs. Female Win % By Challenge Summary and Analysis - Narrow Spectrum</t>
  </si>
  <si>
    <t>This chart compares challenge performance of individuals based on both genders, taking into account nearly every single individual challenge that has taken place two or more times in SURVIVOR history. Towards the left side of the chart fall the challengers where females performed the strongest, winning 100% of the challenges that took place. For example; in Bone To Pick, both Ashley Underwood and Alicia Rosa won the only two iterations of the challenge, meaning that females won 100% of the time. Because of that, men won 0% of the time. This has only occurred five times in SURVIVOR history. Compared to the other side of the spectrum, the right side of the chart, there are challenges when males performed the strongest, winning 100% of the challenges. In Jail Break, only Brian Lake and Simon Mee won, meaning that males won 100% of the time. This, contrasted to the five occurrences with female domination, has happened twenty-seven times, a ratio of - simply - 27:5. This, on a general baseline, stands as a stark note that male performers statistically outperform women.
However, this chart is primarily used to analyze the disparity between individual challenge performances. So, while the overall result is heavily skewed towards the right, some clarifications can be made to even out the result. The results are incredibly skewed in comparison to the number of winners representing individual challenges. 74.1% of all dominated challenges - meaning that one gender won every iteration of the challenge - only occurred twice. All remaining challenges dominated, meanwhile, had no more than four iterations. The lack of iterations in each dominated challenge leads to an overall negatively altered result and skew the results to where if the challenge occurred at another point in the US, Australian, or South African version (since New Zealand is discontinued), if a different gender won the challenge than the dominating gender, the results would yield to 67% for the dominating gender and 33% for the other gender. Since individual challenges make up more than 50% of the challenges on average in every SURVIVOR season, individual performance results can be altered at any time.
While the most individual challenges fall into the 50% range (perfect gender balance), it is crucial to also observe the most frequented range for challenges dominated by either men or women. With women, the most dominated percent range is the 67% range, covering 8.3% of all challenge iterations. This includes challenges such as Q And A, Ballin' A Jack, and Stacked Up. It can also be observed that based on this data, 80% of that challenge range occurred more than twice, generating more balances results as a whole. With men, the most domianted percent range is a tie between the 67% and 75% range. These include Roller Ball, Braille Maze,Vertigo, and Mask Match. Only one out of these sixteen challenges occurred twice, also balancing the results effectively.
To conclude, while the data clearly skews to the men because of the disparity in the number of dominated occurrences, balance lies thouroughly in the areas between the 100% ranges. This provides a general outlook on a male vs. female win percentage analysis, and while informative, does not provide much in-depth information. As a result of this, the next data sheet will exclude the 100% ranges and the 50% ranges to truly get an accurate analysis towards the general debate of male vs. female challenge performance.</t>
  </si>
  <si>
    <t>Race</t>
  </si>
  <si>
    <t>Endurance</t>
  </si>
  <si>
    <t>Rounds</t>
  </si>
  <si>
    <t>Quiz</t>
  </si>
  <si>
    <t>Type Of Challenge (Endurance, Memory, Quiz, Race, Rounds)</t>
  </si>
  <si>
    <t>Race, Rounds</t>
  </si>
  <si>
    <t>This chart takes a more in-depth look into the previous chart (Male Win % vs. Female Win % By Challenge Summary and Analysis) that accounts for all challenge statistics, representing the full spectrum of gender comparison in individual challenge performance. The above chart eliminates all challenges where males or females won more than 90% of the time. This effectively eliminates only the challenges dominated by one gender and attempts to balance out the overwhelming gender disbalance of the full spectrum to attempt to generate a more effective conclusion from the provided data. This chart also attempts to remove redundancy and clean the overall image of the chart by removing all challenges where gender balance was maintained, with each gender winning 50% of the time. By filtering out the balanced variable, this provides a more accurate result and now considers all challenges where, for example, women win either 51-90% of the time or 10-49% of the time.
Encapsulating the above chart, it can be concluded that men still statistically won more individual challenges on average, but not by as high of a margin as when every individual challenge was taken into account. Out of the 69 challenges represented in the above chart, men won more on average for 65% of those challenges compared to women who won more for only 35% of the remaining challenges. There are some key statistics worth noting for the chart. The maximum winning percentage for women was 80%, while for men, it was 90%. And, while men hold the highest percentage marker on this chart, women hold the higher frequency of their highest percentage marker (2:1) and the highest frequency of challenges won at a particular percentage, being 10 at 67%.
To reiterate, both charts represent a more general look at challenge performance as a whole for particular challenges and serve as a baseline or benchmark for more in-deptb analysis in the later charts. This is purely informational and is meant to inform about individual challenges and the comparison of men and women in individual challenge performance. To conclude, men hold the statistical advantage over women in terms of individual challenge performance based on the amount of occurrences of the challenge and hold the more consistent frequency of occurrences compared to women.</t>
  </si>
  <si>
    <t>Row Labels</t>
  </si>
  <si>
    <t>Average of % Male Winners</t>
  </si>
  <si>
    <t>Average of % Female Winners</t>
  </si>
  <si>
    <t>Win Percentage By Demographic Summary and Analysis</t>
  </si>
  <si>
    <t>This chart attempts to represent the win percentage by demographic. There are a total of 8 demographics represented in this chart, with male and female denominations from all four versions of the show. The largest and most dominant demographic is the Male US demographic, representing more than a third of all individual challenge winners. The lowest two demographics, meanwhile, are the NZ demographics (for only having two seasons.)
Two key attributes can be pointed out through this chart. First, the smallest difference in percentage by demographic is the AUS demographic, with a gender difference a four. This is crucial to note as it appears women perform better in AUS Survivor than any other version. The second is that the most overbearing difference in terms of raw percentage differential is the SA version, where men have won more than double of the challenges compared to women.</t>
  </si>
  <si>
    <t>Male Win % vs. Female Win % By Type Of Challenge</t>
  </si>
  <si>
    <t xml:space="preserve">
This chart is the most crucial chart to this analytics sheet, as it takes into account different types of challenges and how the genders comparatively perform in these types of challenges. This takes into account the challenges where a gender performed better 100% of the time and 50% of the time as well, to attempt to encapsulate all data points and involve all challenges. There are six types of challenges used.
Endurance; a challenge where the winner is the last person standing amongst the rest of the players.
Memory; a challenge where the winner gets the most amount of questions correct, or remembers the best.
Quiz; a challenge where the winner gets the most amount of questions correct or is the last standing in quiz format.
Race; a challenge where the winner is the first to complete a certain amount of tasks.
Race, Rounds; a unique challenge where the winner is the first to win a race or bests an opponent through a series of rounds.
Rounds; a challenge where the winner is the first to complete a challenge after moving through multiple rounds of mini-challenges.
For Endurance, women win by a small margin of 53% over men at 47%. This is a big statistic, as endurances are the second most used challenges in the show's history. The challenge where women performed the best was Broken China, with an 100% record. Men, meanwhile, performed the best in Cling Ons and Drop A Log, with an 100% record as well. The margins are clear; women have a higher win percentage overall in the more contested challenges, giving them the edge. For Memory, men have the edge, winning 69% compared to the women's 31%. Station By Station was the best challenge for men at 100%, while the best for women was Total Recall at only 50%. Since there are so few occurrences of memory challenges, this is an anomalistic statistic and stands as a unique scenario. For Quiz, women also hold a slight edge over the men at 53% over 47%. Women performed the best in Fallen Comrades at 80%, while men performed the best in Know Your Loved One at 100%. This is also a small, anomalistic statistic since it has four occurrences, and can be seen as a unique situation.
Races have occurred the most in the show's history, and men have performed better in 71% of them compared to 29% for the women. 5x5, Cannonball Run, Coconut Juice, and End Of The Line are all at 100% win rate for men, while Bone To Pick is at 100% for women. This category is indicative of the male advantage in win occurrence from the previous charts; it is clear that Races are the "make-up" category for men and serve as their biggest base of data. Race/Rounds is a true anomaly since there is only one iteration in the show's history, being the DIY Challenge in South Africa, twice. Since women and men won this challenge one time each, this can be safely ignored and is not indicative of anything. Rounds are closely related to Races in the fact that men have won 75% of the time, with women winning 25% of the time. Men have an 100% win record in almost 50% of all Rounds Challenges, while the highest win percentage for women is Shoot 'n' Shuffle at 67%. Rounds is the other big base of data bumping up the male statistics.
Overall, in categories where men performed better than women, they performed better by a large margin, indicating that statistically they are stronger in most challenges. In categories where women performed better than men, women only performed marginally better than men, giving them a small edge overall. This chart aims to explain types of challenges and gender performance in them, and helps to further explain the previous charts used.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</si>
</sst>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i/>
      <sz val="11"/>
      <color theme="1"/>
      <name val="Calibri"/>
      <family val="2"/>
      <scheme val="minor"/>
    </font>
    <font>
      <b/>
      <i/>
      <sz val="16"/>
      <color theme="1"/>
      <name val="Calibri"/>
      <family val="2"/>
      <scheme val="minor"/>
    </font>
    <font>
      <b/>
      <u/>
      <sz val="11"/>
      <color theme="1"/>
      <name val="Calibri"/>
      <family val="2"/>
      <scheme val="minor"/>
    </font>
    <font>
      <sz val="11"/>
      <color theme="1"/>
      <name val="Calibri"/>
      <family val="2"/>
      <scheme val="minor"/>
    </font>
    <font>
      <sz val="11"/>
      <color theme="5" tint="-0.249977111117893"/>
      <name val="Calibri"/>
      <family val="2"/>
      <scheme val="minor"/>
    </font>
    <font>
      <b/>
      <sz val="11"/>
      <color theme="0"/>
      <name val="Calibri"/>
      <family val="2"/>
      <scheme val="minor"/>
    </font>
    <font>
      <b/>
      <i/>
      <sz val="11"/>
      <color theme="0"/>
      <name val="Calibri"/>
      <family val="2"/>
      <scheme val="minor"/>
    </font>
  </fonts>
  <fills count="56">
    <fill>
      <patternFill patternType="none"/>
    </fill>
    <fill>
      <patternFill patternType="gray125"/>
    </fill>
    <fill>
      <patternFill patternType="solid">
        <fgColor theme="0"/>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bgColor indexed="64"/>
      </patternFill>
    </fill>
    <fill>
      <patternFill patternType="solid">
        <fgColor rgb="FF80D68C"/>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bgColor indexed="64"/>
      </patternFill>
    </fill>
    <fill>
      <patternFill patternType="solid">
        <fgColor rgb="FFFF0000"/>
        <bgColor indexed="64"/>
      </patternFill>
    </fill>
    <fill>
      <patternFill patternType="solid">
        <fgColor rgb="FFCCFF33"/>
        <bgColor indexed="64"/>
      </patternFill>
    </fill>
    <fill>
      <patternFill patternType="solid">
        <fgColor rgb="FF33CCCC"/>
        <bgColor indexed="64"/>
      </patternFill>
    </fill>
    <fill>
      <patternFill patternType="solid">
        <fgColor rgb="FFCC00CC"/>
        <bgColor indexed="64"/>
      </patternFill>
    </fill>
    <fill>
      <patternFill patternType="solid">
        <fgColor rgb="FFFB9423"/>
        <bgColor indexed="64"/>
      </patternFill>
    </fill>
    <fill>
      <patternFill patternType="solid">
        <fgColor rgb="FF7030A0"/>
        <bgColor indexed="64"/>
      </patternFill>
    </fill>
    <fill>
      <patternFill patternType="solid">
        <fgColor rgb="FFFFFF00"/>
        <bgColor indexed="64"/>
      </patternFill>
    </fill>
    <fill>
      <patternFill patternType="solid">
        <fgColor rgb="FF0066FF"/>
        <bgColor indexed="64"/>
      </patternFill>
    </fill>
    <fill>
      <patternFill patternType="solid">
        <fgColor rgb="FFCC0000"/>
        <bgColor indexed="64"/>
      </patternFill>
    </fill>
    <fill>
      <patternFill patternType="solid">
        <fgColor theme="9" tint="-0.249977111117893"/>
        <bgColor indexed="64"/>
      </patternFill>
    </fill>
    <fill>
      <patternFill patternType="solid">
        <fgColor theme="5" tint="-0.499984740745262"/>
        <bgColor indexed="64"/>
      </patternFill>
    </fill>
    <fill>
      <patternFill patternType="solid">
        <fgColor rgb="FFFAE126"/>
        <bgColor indexed="64"/>
      </patternFill>
    </fill>
    <fill>
      <patternFill patternType="solid">
        <fgColor rgb="FF0000CC"/>
        <bgColor indexed="64"/>
      </patternFill>
    </fill>
    <fill>
      <patternFill patternType="solid">
        <fgColor rgb="FFCC00FF"/>
        <bgColor indexed="64"/>
      </patternFill>
    </fill>
    <fill>
      <patternFill patternType="solid">
        <fgColor rgb="FF66FF66"/>
        <bgColor indexed="64"/>
      </patternFill>
    </fill>
    <fill>
      <patternFill patternType="solid">
        <fgColor rgb="FFD20000"/>
        <bgColor indexed="64"/>
      </patternFill>
    </fill>
    <fill>
      <patternFill patternType="solid">
        <fgColor theme="1"/>
        <bgColor indexed="64"/>
      </patternFill>
    </fill>
    <fill>
      <patternFill patternType="solid">
        <fgColor rgb="FF33CC33"/>
        <bgColor indexed="64"/>
      </patternFill>
    </fill>
    <fill>
      <patternFill patternType="solid">
        <fgColor rgb="FF0000FF"/>
        <bgColor indexed="64"/>
      </patternFill>
    </fill>
    <fill>
      <patternFill patternType="solid">
        <fgColor rgb="FFC00000"/>
        <bgColor indexed="64"/>
      </patternFill>
    </fill>
    <fill>
      <patternFill patternType="solid">
        <fgColor rgb="FFF86602"/>
        <bgColor indexed="64"/>
      </patternFill>
    </fill>
    <fill>
      <patternFill patternType="solid">
        <fgColor rgb="FFDED900"/>
        <bgColor indexed="64"/>
      </patternFill>
    </fill>
    <fill>
      <patternFill patternType="solid">
        <fgColor rgb="FFFF9900"/>
        <bgColor indexed="64"/>
      </patternFill>
    </fill>
    <fill>
      <patternFill patternType="solid">
        <fgColor rgb="FFE68E00"/>
        <bgColor indexed="64"/>
      </patternFill>
    </fill>
    <fill>
      <patternFill patternType="solid">
        <fgColor rgb="FF339966"/>
        <bgColor indexed="64"/>
      </patternFill>
    </fill>
    <fill>
      <patternFill patternType="solid">
        <fgColor rgb="FF3333CC"/>
        <bgColor indexed="64"/>
      </patternFill>
    </fill>
    <fill>
      <patternFill patternType="solid">
        <fgColor rgb="FFD60093"/>
        <bgColor indexed="64"/>
      </patternFill>
    </fill>
    <fill>
      <patternFill patternType="solid">
        <fgColor rgb="FFEE8E00"/>
        <bgColor indexed="64"/>
      </patternFill>
    </fill>
    <fill>
      <patternFill patternType="solid">
        <fgColor rgb="FFEB6103"/>
        <bgColor indexed="64"/>
      </patternFill>
    </fill>
    <fill>
      <patternFill patternType="solid">
        <fgColor rgb="FFEBCF03"/>
        <bgColor indexed="64"/>
      </patternFill>
    </fill>
    <fill>
      <patternFill patternType="solid">
        <fgColor rgb="FF9900CC"/>
        <bgColor indexed="64"/>
      </patternFill>
    </fill>
    <fill>
      <patternFill patternType="solid">
        <fgColor rgb="FFF0EA00"/>
        <bgColor indexed="64"/>
      </patternFill>
    </fill>
    <fill>
      <patternFill patternType="solid">
        <fgColor rgb="FF3366FF"/>
        <bgColor indexed="64"/>
      </patternFill>
    </fill>
    <fill>
      <patternFill patternType="solid">
        <fgColor rgb="FFFFAB2F"/>
        <bgColor indexed="64"/>
      </patternFill>
    </fill>
    <fill>
      <patternFill patternType="solid">
        <fgColor rgb="FFCC66FF"/>
        <bgColor indexed="64"/>
      </patternFill>
    </fill>
    <fill>
      <patternFill patternType="solid">
        <fgColor rgb="FF33CCFF"/>
        <bgColor indexed="64"/>
      </patternFill>
    </fill>
    <fill>
      <patternFill patternType="solid">
        <fgColor rgb="FFFF4B4B"/>
        <bgColor indexed="64"/>
      </patternFill>
    </fill>
    <fill>
      <patternFill patternType="solid">
        <fgColor rgb="FFFF9933"/>
        <bgColor indexed="64"/>
      </patternFill>
    </fill>
    <fill>
      <patternFill patternType="solid">
        <fgColor rgb="FF84D686"/>
        <bgColor indexed="64"/>
      </patternFill>
    </fill>
    <fill>
      <patternFill patternType="solid">
        <fgColor rgb="FFEA6CCC"/>
        <bgColor indexed="64"/>
      </patternFill>
    </fill>
    <fill>
      <patternFill patternType="solid">
        <fgColor theme="5" tint="0.39997558519241921"/>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0"/>
        <bgColor theme="5" tint="0.79998168889431442"/>
      </patternFill>
    </fill>
    <fill>
      <patternFill patternType="solid">
        <fgColor theme="5" tint="-0.249977111117893"/>
        <bgColor theme="5"/>
      </patternFill>
    </fill>
    <fill>
      <patternFill patternType="solid">
        <fgColor theme="5" tint="-0.249977111117893"/>
        <bgColor theme="5" tint="0.79998168889431442"/>
      </patternFill>
    </fill>
  </fills>
  <borders count="2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indexed="64"/>
      </right>
      <top style="thin">
        <color theme="5" tint="0.39997558519241921"/>
      </top>
      <bottom style="thin">
        <color theme="5" tint="0.39997558519241921"/>
      </bottom>
      <diagonal/>
    </border>
    <border>
      <left/>
      <right style="thin">
        <color indexed="64"/>
      </right>
      <top style="thin">
        <color theme="5" tint="0.39997558519241921"/>
      </top>
      <bottom/>
      <diagonal/>
    </border>
    <border>
      <left style="thin">
        <color indexed="64"/>
      </left>
      <right style="thin">
        <color indexed="64"/>
      </right>
      <top style="thin">
        <color theme="5" tint="0.39997558519241921"/>
      </top>
      <bottom/>
      <diagonal/>
    </border>
    <border>
      <left/>
      <right/>
      <top style="thin">
        <color theme="5" tint="0.39997558519241921"/>
      </top>
      <bottom/>
      <diagonal/>
    </border>
  </borders>
  <cellStyleXfs count="2">
    <xf numFmtId="0" fontId="0" fillId="0" borderId="0"/>
    <xf numFmtId="9" fontId="5" fillId="0" borderId="0" applyFont="0" applyFill="0" applyBorder="0" applyAlignment="0" applyProtection="0"/>
  </cellStyleXfs>
  <cellXfs count="300">
    <xf numFmtId="0" fontId="0" fillId="0" borderId="0" xfId="0"/>
    <xf numFmtId="0" fontId="0" fillId="2" borderId="0" xfId="0" applyFill="1"/>
    <xf numFmtId="0" fontId="0" fillId="3" borderId="0" xfId="0" applyFill="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4" borderId="1" xfId="0" applyFill="1" applyBorder="1"/>
    <xf numFmtId="0" fontId="0" fillId="4" borderId="2" xfId="0" applyFill="1" applyBorder="1"/>
    <xf numFmtId="0" fontId="0" fillId="4" borderId="3" xfId="0" applyFill="1" applyBorder="1"/>
    <xf numFmtId="0" fontId="0" fillId="4" borderId="4" xfId="0" applyFill="1" applyBorder="1"/>
    <xf numFmtId="0" fontId="3" fillId="4" borderId="0" xfId="0" applyFont="1" applyFill="1" applyAlignment="1">
      <alignment vertical="center"/>
    </xf>
    <xf numFmtId="0" fontId="0" fillId="4" borderId="0" xfId="0" applyFill="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0" borderId="2" xfId="0" applyBorder="1"/>
    <xf numFmtId="0" fontId="1" fillId="4" borderId="4" xfId="0" applyFont="1" applyFill="1" applyBorder="1" applyAlignment="1">
      <alignment horizontal="left" vertical="center"/>
    </xf>
    <xf numFmtId="0" fontId="1" fillId="4" borderId="0" xfId="0" applyFont="1" applyFill="1" applyAlignment="1">
      <alignment horizontal="left" vertical="center"/>
    </xf>
    <xf numFmtId="0" fontId="1" fillId="4" borderId="0" xfId="0" applyFont="1" applyFill="1"/>
    <xf numFmtId="0" fontId="1" fillId="4" borderId="5" xfId="0" applyFont="1" applyFill="1" applyBorder="1"/>
    <xf numFmtId="0" fontId="1" fillId="4" borderId="6" xfId="0" applyFont="1" applyFill="1" applyBorder="1" applyAlignment="1">
      <alignment horizontal="left" vertical="center"/>
    </xf>
    <xf numFmtId="0" fontId="1" fillId="4" borderId="7" xfId="0" applyFont="1" applyFill="1" applyBorder="1" applyAlignment="1">
      <alignment horizontal="left" vertical="center"/>
    </xf>
    <xf numFmtId="0" fontId="1" fillId="4" borderId="7" xfId="0" applyFont="1" applyFill="1" applyBorder="1"/>
    <xf numFmtId="0" fontId="1" fillId="4" borderId="8" xfId="0" applyFont="1" applyFill="1" applyBorder="1"/>
    <xf numFmtId="0" fontId="2" fillId="3" borderId="4" xfId="0" applyFont="1" applyFill="1" applyBorder="1" applyAlignment="1">
      <alignment vertical="center"/>
    </xf>
    <xf numFmtId="0" fontId="1" fillId="0" borderId="0" xfId="0" applyFont="1" applyAlignment="1">
      <alignment vertical="center" wrapText="1"/>
    </xf>
    <xf numFmtId="9" fontId="1" fillId="0" borderId="0" xfId="1" applyFont="1" applyBorder="1" applyAlignment="1">
      <alignment vertical="center" wrapText="1"/>
    </xf>
    <xf numFmtId="0" fontId="1" fillId="0" borderId="5" xfId="0" applyFont="1" applyBorder="1" applyAlignment="1">
      <alignment vertical="center" wrapText="1"/>
    </xf>
    <xf numFmtId="0" fontId="2" fillId="3" borderId="0" xfId="0" applyFont="1" applyFill="1" applyAlignment="1">
      <alignment vertical="center"/>
    </xf>
    <xf numFmtId="0" fontId="1" fillId="3" borderId="0" xfId="0" applyFont="1" applyFill="1" applyAlignment="1">
      <alignment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11" xfId="0" applyFont="1" applyBorder="1" applyAlignment="1">
      <alignment vertical="center" wrapText="1"/>
    </xf>
    <xf numFmtId="0" fontId="1" fillId="0" borderId="11" xfId="0" applyFont="1" applyBorder="1" applyAlignment="1">
      <alignment horizontal="left" vertical="center" wrapText="1"/>
    </xf>
    <xf numFmtId="0" fontId="0" fillId="0" borderId="9" xfId="0" applyBorder="1" applyAlignment="1">
      <alignment horizontal="left"/>
    </xf>
    <xf numFmtId="0" fontId="0" fillId="0" borderId="9" xfId="0" applyBorder="1" applyAlignment="1">
      <alignment vertical="center"/>
    </xf>
    <xf numFmtId="0" fontId="1" fillId="0" borderId="0" xfId="0" applyFont="1" applyAlignment="1">
      <alignment horizontal="right" vertical="center" wrapText="1"/>
    </xf>
    <xf numFmtId="0" fontId="0" fillId="0" borderId="13" xfId="0" applyBorder="1" applyAlignment="1">
      <alignment horizontal="left"/>
    </xf>
    <xf numFmtId="9" fontId="0" fillId="3" borderId="0" xfId="0" applyNumberFormat="1" applyFill="1"/>
    <xf numFmtId="0" fontId="2" fillId="4" borderId="2" xfId="0" applyFont="1" applyFill="1" applyBorder="1" applyAlignment="1">
      <alignment vertical="center"/>
    </xf>
    <xf numFmtId="0" fontId="2" fillId="4" borderId="3" xfId="0" applyFont="1" applyFill="1" applyBorder="1" applyAlignment="1">
      <alignment vertical="center"/>
    </xf>
    <xf numFmtId="0" fontId="2" fillId="4" borderId="0" xfId="0" applyFont="1" applyFill="1" applyAlignment="1">
      <alignment vertical="center"/>
    </xf>
    <xf numFmtId="0" fontId="2" fillId="4" borderId="5" xfId="0" applyFont="1" applyFill="1" applyBorder="1" applyAlignment="1">
      <alignment vertical="center"/>
    </xf>
    <xf numFmtId="0" fontId="2" fillId="4" borderId="7" xfId="0" applyFont="1" applyFill="1" applyBorder="1" applyAlignment="1">
      <alignment vertical="center"/>
    </xf>
    <xf numFmtId="0" fontId="2" fillId="4" borderId="8" xfId="0" applyFont="1" applyFill="1" applyBorder="1" applyAlignment="1">
      <alignment vertical="center"/>
    </xf>
    <xf numFmtId="0" fontId="6" fillId="3" borderId="0" xfId="0" applyFont="1" applyFill="1"/>
    <xf numFmtId="9" fontId="6" fillId="3" borderId="0" xfId="0" applyNumberFormat="1" applyFont="1" applyFill="1"/>
    <xf numFmtId="9" fontId="6" fillId="3" borderId="0" xfId="1" applyFont="1" applyFill="1"/>
    <xf numFmtId="9" fontId="6" fillId="3" borderId="0" xfId="1" applyFont="1" applyFill="1" applyAlignment="1">
      <alignment horizontal="right"/>
    </xf>
    <xf numFmtId="13" fontId="6" fillId="3" borderId="0" xfId="1" applyNumberFormat="1" applyFont="1" applyFill="1"/>
    <xf numFmtId="13" fontId="6" fillId="3" borderId="0" xfId="1" applyNumberFormat="1" applyFont="1" applyFill="1" applyAlignment="1">
      <alignment horizontal="right"/>
    </xf>
    <xf numFmtId="0" fontId="2" fillId="3" borderId="0" xfId="0" applyFont="1" applyFill="1" applyAlignment="1">
      <alignment horizontal="center" vertical="center"/>
    </xf>
    <xf numFmtId="0" fontId="2" fillId="3" borderId="7" xfId="0" applyFont="1" applyFill="1" applyBorder="1" applyAlignment="1">
      <alignment vertical="center"/>
    </xf>
    <xf numFmtId="0" fontId="2" fillId="3" borderId="2" xfId="0" applyFont="1" applyFill="1" applyBorder="1" applyAlignment="1">
      <alignment horizontal="center" vertical="center"/>
    </xf>
    <xf numFmtId="0" fontId="2" fillId="3" borderId="2" xfId="0" applyFont="1" applyFill="1" applyBorder="1" applyAlignment="1">
      <alignment vertical="center"/>
    </xf>
    <xf numFmtId="0" fontId="4" fillId="4" borderId="0" xfId="0" applyFont="1" applyFill="1" applyAlignment="1">
      <alignment horizontal="center" vertical="center" wrapText="1"/>
    </xf>
    <xf numFmtId="0" fontId="4" fillId="4" borderId="5"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5"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1" xfId="0" applyFont="1" applyFill="1" applyBorder="1"/>
    <xf numFmtId="0" fontId="1" fillId="4" borderId="3" xfId="0" applyFont="1" applyFill="1" applyBorder="1"/>
    <xf numFmtId="0" fontId="1" fillId="4" borderId="4" xfId="0" applyFont="1" applyFill="1" applyBorder="1"/>
    <xf numFmtId="0" fontId="1" fillId="4" borderId="6" xfId="0" applyFont="1" applyFill="1" applyBorder="1"/>
    <xf numFmtId="0" fontId="1" fillId="4" borderId="11" xfId="0" applyFont="1" applyFill="1" applyBorder="1"/>
    <xf numFmtId="0" fontId="4"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0" xfId="0" applyFont="1" applyFill="1" applyBorder="1" applyAlignment="1">
      <alignment horizontal="center" vertical="center"/>
    </xf>
    <xf numFmtId="0" fontId="0" fillId="0" borderId="9" xfId="0" pivotButton="1" applyBorder="1" applyAlignment="1">
      <alignment vertical="center"/>
    </xf>
    <xf numFmtId="0" fontId="0" fillId="0" borderId="9" xfId="0" applyBorder="1" applyAlignment="1">
      <alignment horizontal="left" vertical="center"/>
    </xf>
    <xf numFmtId="0" fontId="1" fillId="0" borderId="1" xfId="0" applyFont="1" applyBorder="1"/>
    <xf numFmtId="0" fontId="1" fillId="0" borderId="4" xfId="0" applyFont="1" applyBorder="1"/>
    <xf numFmtId="0" fontId="1" fillId="0" borderId="0" xfId="0" applyFont="1"/>
    <xf numFmtId="0" fontId="1" fillId="0" borderId="8" xfId="0" applyFont="1" applyBorder="1" applyAlignment="1">
      <alignment vertical="center"/>
    </xf>
    <xf numFmtId="0" fontId="1" fillId="0" borderId="11" xfId="0" applyFont="1" applyBorder="1" applyAlignment="1">
      <alignment vertical="center"/>
    </xf>
    <xf numFmtId="0" fontId="1" fillId="0" borderId="6" xfId="0" applyFont="1" applyBorder="1" applyAlignment="1">
      <alignment vertical="center"/>
    </xf>
    <xf numFmtId="0" fontId="1" fillId="0" borderId="0" xfId="0" applyFont="1" applyAlignment="1">
      <alignment vertical="center"/>
    </xf>
    <xf numFmtId="0" fontId="0" fillId="0" borderId="9" xfId="0" applyBorder="1" applyAlignment="1">
      <alignment vertical="center" wrapText="1"/>
    </xf>
    <xf numFmtId="0" fontId="1" fillId="0" borderId="1" xfId="0" applyFont="1" applyBorder="1" applyAlignment="1">
      <alignment vertical="center"/>
    </xf>
    <xf numFmtId="0" fontId="1" fillId="0" borderId="4" xfId="0" applyFont="1" applyBorder="1" applyAlignment="1">
      <alignment vertical="center"/>
    </xf>
    <xf numFmtId="0" fontId="1" fillId="3" borderId="0" xfId="0" applyFont="1" applyFill="1"/>
    <xf numFmtId="0" fontId="0" fillId="0" borderId="4" xfId="0" applyBorder="1" applyAlignment="1">
      <alignment horizontal="left"/>
    </xf>
    <xf numFmtId="0" fontId="0" fillId="0" borderId="5" xfId="0" applyBorder="1"/>
    <xf numFmtId="0" fontId="0" fillId="0" borderId="6" xfId="0" applyBorder="1" applyAlignment="1">
      <alignment horizontal="left"/>
    </xf>
    <xf numFmtId="0" fontId="0" fillId="0" borderId="8" xfId="0" applyBorder="1"/>
    <xf numFmtId="0" fontId="0" fillId="0" borderId="9" xfId="0" pivotButton="1" applyBorder="1"/>
    <xf numFmtId="0" fontId="0" fillId="0" borderId="9" xfId="0" applyBorder="1"/>
    <xf numFmtId="0" fontId="0" fillId="0" borderId="7" xfId="0" applyBorder="1"/>
    <xf numFmtId="0" fontId="0" fillId="0" borderId="4" xfId="0" applyBorder="1"/>
    <xf numFmtId="0" fontId="0" fillId="0" borderId="6" xfId="0" applyBorder="1"/>
    <xf numFmtId="0" fontId="0" fillId="0" borderId="13" xfId="0" pivotButton="1" applyBorder="1" applyAlignment="1">
      <alignment horizontal="left" vertical="center"/>
    </xf>
    <xf numFmtId="0" fontId="2" fillId="3" borderId="0" xfId="0" applyFont="1" applyFill="1" applyAlignment="1">
      <alignment vertical="center" wrapText="1"/>
    </xf>
    <xf numFmtId="0" fontId="2" fillId="3" borderId="2" xfId="0" applyFont="1" applyFill="1" applyBorder="1" applyAlignment="1">
      <alignment vertical="center" wrapText="1"/>
    </xf>
    <xf numFmtId="0" fontId="0" fillId="0" borderId="10" xfId="0" applyBorder="1"/>
    <xf numFmtId="0" fontId="0" fillId="0" borderId="12" xfId="0" applyBorder="1"/>
    <xf numFmtId="0" fontId="0" fillId="0" borderId="11" xfId="0" applyBorder="1"/>
    <xf numFmtId="0" fontId="0" fillId="0" borderId="10" xfId="0" applyBorder="1" applyAlignment="1">
      <alignment horizontal="left"/>
    </xf>
    <xf numFmtId="0" fontId="0" fillId="0" borderId="12" xfId="0" applyBorder="1" applyAlignment="1">
      <alignment horizontal="left"/>
    </xf>
    <xf numFmtId="0" fontId="0" fillId="0" borderId="11" xfId="0" applyBorder="1" applyAlignment="1">
      <alignment horizontal="left"/>
    </xf>
    <xf numFmtId="0" fontId="2" fillId="4" borderId="9" xfId="0" applyFont="1" applyFill="1" applyBorder="1" applyAlignment="1">
      <alignment horizontal="center" vertical="center"/>
    </xf>
    <xf numFmtId="0" fontId="2" fillId="4" borderId="9" xfId="0" applyFont="1" applyFill="1" applyBorder="1" applyAlignment="1">
      <alignment horizontal="center"/>
    </xf>
    <xf numFmtId="0" fontId="2" fillId="4" borderId="13" xfId="0" applyFont="1" applyFill="1" applyBorder="1" applyAlignment="1">
      <alignment horizontal="center"/>
    </xf>
    <xf numFmtId="0" fontId="1" fillId="0" borderId="8" xfId="0" applyFont="1" applyBorder="1"/>
    <xf numFmtId="0" fontId="1" fillId="0" borderId="11" xfId="0" applyFont="1" applyBorder="1"/>
    <xf numFmtId="0" fontId="1" fillId="0" borderId="6" xfId="0" applyFont="1" applyBorder="1"/>
    <xf numFmtId="0" fontId="0" fillId="0" borderId="1" xfId="0" applyBorder="1"/>
    <xf numFmtId="0" fontId="0" fillId="0" borderId="3" xfId="0" applyBorder="1"/>
    <xf numFmtId="0" fontId="2" fillId="4" borderId="4" xfId="0" applyFont="1" applyFill="1" applyBorder="1" applyAlignment="1">
      <alignment vertical="top"/>
    </xf>
    <xf numFmtId="0" fontId="2" fillId="4" borderId="6" xfId="0" applyFont="1" applyFill="1" applyBorder="1" applyAlignment="1">
      <alignment vertical="top"/>
    </xf>
    <xf numFmtId="0" fontId="2" fillId="4" borderId="7" xfId="0" applyFont="1" applyFill="1" applyBorder="1" applyAlignment="1">
      <alignment vertical="top"/>
    </xf>
    <xf numFmtId="0" fontId="2" fillId="4" borderId="0" xfId="0" applyFont="1" applyFill="1" applyAlignment="1">
      <alignment vertical="top"/>
    </xf>
    <xf numFmtId="0" fontId="2" fillId="4" borderId="5" xfId="0" applyFont="1" applyFill="1" applyBorder="1" applyAlignment="1">
      <alignment vertical="top"/>
    </xf>
    <xf numFmtId="0" fontId="2" fillId="4" borderId="8" xfId="0" applyFont="1" applyFill="1" applyBorder="1" applyAlignment="1">
      <alignment vertical="top"/>
    </xf>
    <xf numFmtId="0" fontId="3" fillId="4" borderId="5" xfId="0" applyFont="1" applyFill="1" applyBorder="1" applyAlignment="1">
      <alignment vertical="center"/>
    </xf>
    <xf numFmtId="9" fontId="0" fillId="0" borderId="5" xfId="0" applyNumberFormat="1" applyBorder="1"/>
    <xf numFmtId="0" fontId="0" fillId="0" borderId="14" xfId="0" pivotButton="1" applyBorder="1"/>
    <xf numFmtId="9" fontId="0" fillId="0" borderId="1" xfId="0" applyNumberFormat="1" applyBorder="1"/>
    <xf numFmtId="9" fontId="0" fillId="0" borderId="4" xfId="0" applyNumberFormat="1" applyBorder="1"/>
    <xf numFmtId="9" fontId="0" fillId="0" borderId="3" xfId="0" applyNumberFormat="1" applyBorder="1"/>
    <xf numFmtId="0" fontId="0" fillId="0" borderId="1" xfId="0" applyBorder="1" applyAlignment="1">
      <alignment horizontal="left"/>
    </xf>
    <xf numFmtId="9" fontId="0" fillId="0" borderId="2" xfId="0" applyNumberFormat="1" applyBorder="1"/>
    <xf numFmtId="9" fontId="0" fillId="0" borderId="0" xfId="0" applyNumberFormat="1"/>
    <xf numFmtId="9" fontId="0" fillId="3" borderId="0" xfId="1" applyFont="1" applyFill="1"/>
    <xf numFmtId="0" fontId="1" fillId="0" borderId="5" xfId="0" applyFont="1" applyBorder="1"/>
    <xf numFmtId="9" fontId="1" fillId="0" borderId="0" xfId="1" applyFont="1" applyBorder="1"/>
    <xf numFmtId="0" fontId="0" fillId="0" borderId="2" xfId="0" pivotButton="1" applyBorder="1" applyAlignment="1">
      <alignment horizontal="center"/>
    </xf>
    <xf numFmtId="0" fontId="0" fillId="0" borderId="9" xfId="0" applyBorder="1" applyAlignment="1">
      <alignment wrapText="1"/>
    </xf>
    <xf numFmtId="0" fontId="1" fillId="52" borderId="16" xfId="0" applyFont="1" applyFill="1" applyBorder="1"/>
    <xf numFmtId="0" fontId="1" fillId="0" borderId="16" xfId="0" applyFont="1" applyBorder="1"/>
    <xf numFmtId="0" fontId="1" fillId="52" borderId="18" xfId="0" applyFont="1" applyFill="1" applyBorder="1"/>
    <xf numFmtId="0" fontId="1" fillId="0" borderId="18" xfId="0" applyFont="1" applyBorder="1"/>
    <xf numFmtId="9" fontId="1" fillId="52" borderId="17" xfId="1" applyFont="1" applyFill="1" applyBorder="1"/>
    <xf numFmtId="9" fontId="1" fillId="53" borderId="17" xfId="1" applyFont="1" applyFill="1" applyBorder="1"/>
    <xf numFmtId="0" fontId="2" fillId="3" borderId="0" xfId="0" applyFont="1" applyFill="1" applyAlignment="1">
      <alignment horizontal="center"/>
    </xf>
    <xf numFmtId="0" fontId="1" fillId="3" borderId="0" xfId="0" applyFont="1" applyFill="1" applyAlignment="1">
      <alignment horizontal="center" vertical="center"/>
    </xf>
    <xf numFmtId="0" fontId="1" fillId="52" borderId="19" xfId="0" applyFont="1" applyFill="1" applyBorder="1"/>
    <xf numFmtId="0" fontId="1" fillId="52" borderId="20" xfId="0" applyFont="1" applyFill="1" applyBorder="1"/>
    <xf numFmtId="9" fontId="1" fillId="52" borderId="21" xfId="1" applyFont="1" applyFill="1" applyBorder="1"/>
    <xf numFmtId="0" fontId="8" fillId="51" borderId="8" xfId="0" applyFont="1" applyFill="1" applyBorder="1"/>
    <xf numFmtId="0" fontId="8" fillId="51" borderId="11" xfId="0" applyFont="1" applyFill="1" applyBorder="1"/>
    <xf numFmtId="0" fontId="8" fillId="51" borderId="6" xfId="0" applyFont="1" applyFill="1" applyBorder="1"/>
    <xf numFmtId="9" fontId="8" fillId="54" borderId="0" xfId="1" applyFont="1" applyFill="1" applyBorder="1"/>
    <xf numFmtId="9" fontId="1" fillId="3" borderId="0" xfId="1" applyFont="1" applyFill="1" applyBorder="1"/>
    <xf numFmtId="9" fontId="1" fillId="55" borderId="0" xfId="1" applyFont="1" applyFill="1" applyBorder="1"/>
    <xf numFmtId="9" fontId="1" fillId="3" borderId="4" xfId="1" applyFont="1" applyFill="1" applyBorder="1"/>
    <xf numFmtId="9" fontId="1" fillId="55" borderId="4" xfId="1" applyFont="1" applyFill="1" applyBorder="1"/>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1" fillId="3" borderId="1"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3"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0" xfId="0" applyFont="1" applyFill="1" applyAlignment="1">
      <alignment horizontal="center" vertical="center"/>
    </xf>
    <xf numFmtId="0" fontId="2" fillId="4" borderId="5" xfId="0" applyFont="1" applyFill="1" applyBorder="1" applyAlignment="1">
      <alignment horizontal="center" vertical="center"/>
    </xf>
    <xf numFmtId="0" fontId="2" fillId="4" borderId="6"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0" xfId="0" applyFont="1" applyFill="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4" borderId="8" xfId="0" applyFont="1" applyFill="1" applyBorder="1" applyAlignment="1">
      <alignment horizontal="center" vertical="center" wrapText="1"/>
    </xf>
    <xf numFmtId="0" fontId="2" fillId="4" borderId="1" xfId="0" applyFont="1" applyFill="1" applyBorder="1" applyAlignment="1">
      <alignment horizontal="center"/>
    </xf>
    <xf numFmtId="0" fontId="2" fillId="4" borderId="2" xfId="0" applyFont="1" applyFill="1" applyBorder="1" applyAlignment="1">
      <alignment horizontal="center"/>
    </xf>
    <xf numFmtId="0" fontId="2" fillId="4" borderId="3" xfId="0" applyFont="1" applyFill="1" applyBorder="1" applyAlignment="1">
      <alignment horizont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2" fillId="4" borderId="9" xfId="0" applyFont="1" applyFill="1" applyBorder="1" applyAlignment="1">
      <alignment horizontal="center" vertical="center"/>
    </xf>
    <xf numFmtId="0" fontId="1" fillId="7" borderId="9" xfId="0" applyFont="1" applyFill="1" applyBorder="1" applyAlignment="1">
      <alignment horizontal="center"/>
    </xf>
    <xf numFmtId="0" fontId="1" fillId="4" borderId="14" xfId="0" applyFont="1" applyFill="1" applyBorder="1" applyAlignment="1">
      <alignment horizontal="center"/>
    </xf>
    <xf numFmtId="0" fontId="1" fillId="4" borderId="3" xfId="0" applyFont="1" applyFill="1" applyBorder="1" applyAlignment="1">
      <alignment horizontal="center"/>
    </xf>
    <xf numFmtId="0" fontId="1" fillId="8" borderId="14" xfId="0" applyFont="1" applyFill="1" applyBorder="1" applyAlignment="1">
      <alignment horizontal="center"/>
    </xf>
    <xf numFmtId="0" fontId="1" fillId="8" borderId="13" xfId="0" applyFont="1" applyFill="1" applyBorder="1" applyAlignment="1">
      <alignment horizontal="center"/>
    </xf>
    <xf numFmtId="0" fontId="1" fillId="4" borderId="13" xfId="0" applyFont="1" applyFill="1" applyBorder="1" applyAlignment="1">
      <alignment horizontal="center"/>
    </xf>
    <xf numFmtId="0" fontId="1" fillId="13" borderId="9" xfId="0" applyFont="1" applyFill="1" applyBorder="1" applyAlignment="1">
      <alignment horizontal="center"/>
    </xf>
    <xf numFmtId="0" fontId="1" fillId="5" borderId="9" xfId="0" applyFont="1" applyFill="1" applyBorder="1" applyAlignment="1">
      <alignment horizontal="center"/>
    </xf>
    <xf numFmtId="0" fontId="1" fillId="6" borderId="9" xfId="0" applyFont="1" applyFill="1" applyBorder="1" applyAlignment="1">
      <alignment horizontal="center"/>
    </xf>
    <xf numFmtId="0" fontId="1" fillId="11" borderId="14" xfId="0" applyFont="1" applyFill="1" applyBorder="1" applyAlignment="1">
      <alignment horizontal="center"/>
    </xf>
    <xf numFmtId="0" fontId="1" fillId="11" borderId="13" xfId="0" applyFont="1" applyFill="1" applyBorder="1" applyAlignment="1">
      <alignment horizontal="center"/>
    </xf>
    <xf numFmtId="0" fontId="1" fillId="12" borderId="14" xfId="0" applyFont="1" applyFill="1" applyBorder="1" applyAlignment="1">
      <alignment horizontal="center"/>
    </xf>
    <xf numFmtId="0" fontId="1" fillId="12" borderId="13" xfId="0" applyFont="1" applyFill="1" applyBorder="1" applyAlignment="1">
      <alignment horizontal="center"/>
    </xf>
    <xf numFmtId="0" fontId="1" fillId="9" borderId="9" xfId="0" applyFont="1" applyFill="1" applyBorder="1" applyAlignment="1">
      <alignment horizontal="center"/>
    </xf>
    <xf numFmtId="0" fontId="1" fillId="10" borderId="14" xfId="0" applyFont="1" applyFill="1" applyBorder="1" applyAlignment="1">
      <alignment horizontal="center"/>
    </xf>
    <xf numFmtId="0" fontId="1" fillId="10" borderId="13" xfId="0" applyFont="1" applyFill="1" applyBorder="1" applyAlignment="1">
      <alignment horizontal="center"/>
    </xf>
    <xf numFmtId="0" fontId="1" fillId="17" borderId="9" xfId="0" applyFont="1" applyFill="1" applyBorder="1" applyAlignment="1">
      <alignment horizontal="center"/>
    </xf>
    <xf numFmtId="0" fontId="1" fillId="21" borderId="9" xfId="0" applyFont="1" applyFill="1" applyBorder="1" applyAlignment="1">
      <alignment horizontal="center"/>
    </xf>
    <xf numFmtId="0" fontId="1" fillId="18" borderId="9" xfId="0" applyFont="1" applyFill="1" applyBorder="1" applyAlignment="1">
      <alignment horizontal="center"/>
    </xf>
    <xf numFmtId="0" fontId="1" fillId="19" borderId="14" xfId="0" applyFont="1" applyFill="1" applyBorder="1" applyAlignment="1">
      <alignment horizontal="center"/>
    </xf>
    <xf numFmtId="0" fontId="1" fillId="19" borderId="13" xfId="0" applyFont="1" applyFill="1" applyBorder="1" applyAlignment="1">
      <alignment horizontal="center"/>
    </xf>
    <xf numFmtId="0" fontId="1" fillId="12" borderId="9" xfId="0" applyFont="1" applyFill="1" applyBorder="1" applyAlignment="1">
      <alignment horizontal="center"/>
    </xf>
    <xf numFmtId="0" fontId="1" fillId="14" borderId="9" xfId="0" applyFont="1" applyFill="1" applyBorder="1" applyAlignment="1">
      <alignment horizontal="center"/>
    </xf>
    <xf numFmtId="0" fontId="1" fillId="15" borderId="9" xfId="0" applyFont="1" applyFill="1" applyBorder="1" applyAlignment="1">
      <alignment horizontal="center"/>
    </xf>
    <xf numFmtId="0" fontId="1" fillId="16" borderId="9" xfId="0" applyFont="1" applyFill="1" applyBorder="1" applyAlignment="1">
      <alignment horizontal="center"/>
    </xf>
    <xf numFmtId="0" fontId="1" fillId="10" borderId="9" xfId="0" applyFont="1" applyFill="1" applyBorder="1" applyAlignment="1">
      <alignment horizontal="center"/>
    </xf>
    <xf numFmtId="0" fontId="1" fillId="22" borderId="14" xfId="0" applyFont="1" applyFill="1" applyBorder="1" applyAlignment="1">
      <alignment horizontal="center"/>
    </xf>
    <xf numFmtId="0" fontId="1" fillId="22" borderId="13" xfId="0" applyFont="1" applyFill="1" applyBorder="1" applyAlignment="1">
      <alignment horizontal="center"/>
    </xf>
    <xf numFmtId="0" fontId="1" fillId="14" borderId="14" xfId="0" applyFont="1" applyFill="1" applyBorder="1" applyAlignment="1">
      <alignment horizontal="center"/>
    </xf>
    <xf numFmtId="0" fontId="1" fillId="14" borderId="13" xfId="0" applyFont="1" applyFill="1" applyBorder="1" applyAlignment="1">
      <alignment horizontal="center"/>
    </xf>
    <xf numFmtId="0" fontId="1" fillId="20" borderId="9" xfId="0" applyFont="1" applyFill="1" applyBorder="1" applyAlignment="1">
      <alignment horizontal="center"/>
    </xf>
    <xf numFmtId="0" fontId="1" fillId="23" borderId="14" xfId="0" applyFont="1" applyFill="1" applyBorder="1" applyAlignment="1">
      <alignment horizontal="center"/>
    </xf>
    <xf numFmtId="0" fontId="1" fillId="23" borderId="13" xfId="0" applyFont="1" applyFill="1" applyBorder="1" applyAlignment="1">
      <alignment horizontal="center"/>
    </xf>
    <xf numFmtId="0" fontId="1" fillId="24" borderId="14" xfId="0" applyFont="1" applyFill="1" applyBorder="1" applyAlignment="1">
      <alignment horizontal="center"/>
    </xf>
    <xf numFmtId="0" fontId="1" fillId="24" borderId="13" xfId="0" applyFont="1" applyFill="1" applyBorder="1" applyAlignment="1">
      <alignment horizontal="center"/>
    </xf>
    <xf numFmtId="0" fontId="1" fillId="11" borderId="9" xfId="0" applyFont="1" applyFill="1" applyBorder="1" applyAlignment="1">
      <alignment horizontal="center"/>
    </xf>
    <xf numFmtId="0" fontId="1" fillId="25" borderId="9" xfId="0" applyFont="1" applyFill="1" applyBorder="1" applyAlignment="1">
      <alignment horizontal="center"/>
    </xf>
    <xf numFmtId="0" fontId="7" fillId="26" borderId="9" xfId="0" applyFont="1" applyFill="1" applyBorder="1" applyAlignment="1">
      <alignment horizontal="center"/>
    </xf>
    <xf numFmtId="0" fontId="1" fillId="27" borderId="9" xfId="0" applyFont="1" applyFill="1" applyBorder="1" applyAlignment="1">
      <alignment horizontal="center"/>
    </xf>
    <xf numFmtId="0" fontId="1" fillId="28" borderId="9" xfId="0" applyFont="1" applyFill="1" applyBorder="1" applyAlignment="1">
      <alignment horizontal="center"/>
    </xf>
    <xf numFmtId="0" fontId="1" fillId="29" borderId="9" xfId="0" applyFont="1" applyFill="1" applyBorder="1" applyAlignment="1">
      <alignment horizontal="center"/>
    </xf>
    <xf numFmtId="0" fontId="1" fillId="22" borderId="9" xfId="0" applyFont="1" applyFill="1" applyBorder="1" applyAlignment="1">
      <alignment horizontal="center"/>
    </xf>
    <xf numFmtId="0" fontId="1" fillId="25" borderId="14" xfId="0" applyFont="1" applyFill="1" applyBorder="1" applyAlignment="1">
      <alignment horizontal="center"/>
    </xf>
    <xf numFmtId="0" fontId="1" fillId="25" borderId="13" xfId="0" applyFont="1" applyFill="1" applyBorder="1" applyAlignment="1">
      <alignment horizontal="center"/>
    </xf>
    <xf numFmtId="0" fontId="1" fillId="21" borderId="14" xfId="0" applyFont="1" applyFill="1" applyBorder="1" applyAlignment="1">
      <alignment horizontal="center"/>
    </xf>
    <xf numFmtId="0" fontId="1" fillId="21" borderId="13" xfId="0" applyFont="1" applyFill="1" applyBorder="1" applyAlignment="1">
      <alignment horizontal="center"/>
    </xf>
    <xf numFmtId="0" fontId="1" fillId="4" borderId="15" xfId="0" applyFont="1" applyFill="1" applyBorder="1" applyAlignment="1">
      <alignment horizontal="center"/>
    </xf>
    <xf numFmtId="0" fontId="7" fillId="26" borderId="14" xfId="0" applyFont="1" applyFill="1" applyBorder="1" applyAlignment="1">
      <alignment horizontal="center"/>
    </xf>
    <xf numFmtId="0" fontId="1" fillId="31" borderId="14" xfId="0" applyFont="1" applyFill="1" applyBorder="1" applyAlignment="1">
      <alignment horizontal="center"/>
    </xf>
    <xf numFmtId="0" fontId="1" fillId="31" borderId="13" xfId="0" applyFont="1" applyFill="1" applyBorder="1" applyAlignment="1">
      <alignment horizontal="center"/>
    </xf>
    <xf numFmtId="0" fontId="1" fillId="30" borderId="9" xfId="0" applyFont="1" applyFill="1" applyBorder="1" applyAlignment="1">
      <alignment horizontal="center"/>
    </xf>
    <xf numFmtId="0" fontId="1" fillId="4" borderId="1" xfId="0" applyFont="1" applyFill="1" applyBorder="1" applyAlignment="1">
      <alignment horizontal="center"/>
    </xf>
    <xf numFmtId="0" fontId="1" fillId="41" borderId="14" xfId="0" applyFont="1" applyFill="1" applyBorder="1" applyAlignment="1">
      <alignment horizontal="center"/>
    </xf>
    <xf numFmtId="0" fontId="1" fillId="41" borderId="13" xfId="0" applyFont="1" applyFill="1" applyBorder="1" applyAlignment="1">
      <alignment horizontal="center"/>
    </xf>
    <xf numFmtId="0" fontId="1" fillId="40" borderId="9" xfId="0" applyFont="1" applyFill="1" applyBorder="1" applyAlignment="1">
      <alignment horizontal="center"/>
    </xf>
    <xf numFmtId="0" fontId="1" fillId="38" borderId="9" xfId="0" applyFont="1" applyFill="1" applyBorder="1" applyAlignment="1">
      <alignment horizontal="center"/>
    </xf>
    <xf numFmtId="0" fontId="1" fillId="39" borderId="9" xfId="0" applyFont="1" applyFill="1" applyBorder="1" applyAlignment="1">
      <alignment horizontal="center"/>
    </xf>
    <xf numFmtId="0" fontId="1" fillId="35" borderId="14" xfId="0" applyFont="1" applyFill="1" applyBorder="1" applyAlignment="1">
      <alignment horizontal="center"/>
    </xf>
    <xf numFmtId="0" fontId="1" fillId="35" borderId="13" xfId="0" applyFont="1" applyFill="1" applyBorder="1" applyAlignment="1">
      <alignment horizontal="center"/>
    </xf>
    <xf numFmtId="0" fontId="1" fillId="36" borderId="9" xfId="0" applyFont="1" applyFill="1" applyBorder="1" applyAlignment="1">
      <alignment horizontal="center"/>
    </xf>
    <xf numFmtId="0" fontId="7" fillId="26" borderId="13" xfId="0" applyFont="1" applyFill="1" applyBorder="1" applyAlignment="1">
      <alignment horizontal="center"/>
    </xf>
    <xf numFmtId="0" fontId="1" fillId="33" borderId="14" xfId="0" applyFont="1" applyFill="1" applyBorder="1" applyAlignment="1">
      <alignment horizontal="center"/>
    </xf>
    <xf numFmtId="0" fontId="1" fillId="33" borderId="13" xfId="0" applyFont="1" applyFill="1" applyBorder="1" applyAlignment="1">
      <alignment horizontal="center"/>
    </xf>
    <xf numFmtId="0" fontId="1" fillId="34" borderId="14" xfId="0" applyFont="1" applyFill="1" applyBorder="1" applyAlignment="1">
      <alignment horizontal="center"/>
    </xf>
    <xf numFmtId="0" fontId="1" fillId="34" borderId="13" xfId="0" applyFont="1" applyFill="1" applyBorder="1" applyAlignment="1">
      <alignment horizontal="center"/>
    </xf>
    <xf numFmtId="0" fontId="1" fillId="32" borderId="9" xfId="0" applyFont="1" applyFill="1" applyBorder="1" applyAlignment="1">
      <alignment horizontal="center"/>
    </xf>
    <xf numFmtId="0" fontId="1" fillId="13" borderId="14" xfId="0" applyFont="1" applyFill="1" applyBorder="1" applyAlignment="1">
      <alignment horizontal="center"/>
    </xf>
    <xf numFmtId="0" fontId="1" fillId="13" borderId="13" xfId="0" applyFont="1" applyFill="1" applyBorder="1" applyAlignment="1">
      <alignment horizontal="center"/>
    </xf>
    <xf numFmtId="0" fontId="1" fillId="42" borderId="9" xfId="0" applyFont="1" applyFill="1" applyBorder="1" applyAlignment="1">
      <alignment horizontal="center"/>
    </xf>
    <xf numFmtId="0" fontId="1" fillId="37" borderId="14" xfId="0" applyFont="1" applyFill="1" applyBorder="1" applyAlignment="1">
      <alignment horizontal="center"/>
    </xf>
    <xf numFmtId="0" fontId="1" fillId="37" borderId="13" xfId="0" applyFont="1" applyFill="1" applyBorder="1" applyAlignment="1">
      <alignment horizontal="center"/>
    </xf>
    <xf numFmtId="0" fontId="1" fillId="43" borderId="14" xfId="0" applyFont="1" applyFill="1" applyBorder="1" applyAlignment="1">
      <alignment horizontal="center"/>
    </xf>
    <xf numFmtId="0" fontId="1" fillId="43" borderId="13" xfId="0" applyFont="1" applyFill="1" applyBorder="1" applyAlignment="1">
      <alignment horizontal="center"/>
    </xf>
    <xf numFmtId="0" fontId="1" fillId="23" borderId="9" xfId="0" applyFont="1" applyFill="1" applyBorder="1" applyAlignment="1">
      <alignment horizontal="center"/>
    </xf>
    <xf numFmtId="0" fontId="1" fillId="13" borderId="6" xfId="0" applyFont="1" applyFill="1" applyBorder="1" applyAlignment="1">
      <alignment horizontal="center"/>
    </xf>
    <xf numFmtId="0" fontId="1" fillId="48" borderId="9" xfId="0" applyFont="1" applyFill="1" applyBorder="1" applyAlignment="1">
      <alignment horizontal="center"/>
    </xf>
    <xf numFmtId="0" fontId="1" fillId="49" borderId="9" xfId="0" applyFont="1" applyFill="1" applyBorder="1" applyAlignment="1">
      <alignment horizontal="center"/>
    </xf>
    <xf numFmtId="0" fontId="1" fillId="45" borderId="9" xfId="0" applyFont="1" applyFill="1" applyBorder="1" applyAlignment="1">
      <alignment horizontal="center"/>
    </xf>
    <xf numFmtId="0" fontId="1" fillId="46" borderId="9" xfId="0" applyFont="1" applyFill="1" applyBorder="1" applyAlignment="1">
      <alignment horizontal="center"/>
    </xf>
    <xf numFmtId="0" fontId="1" fillId="47" borderId="14" xfId="0" applyFont="1" applyFill="1" applyBorder="1" applyAlignment="1">
      <alignment horizontal="center"/>
    </xf>
    <xf numFmtId="0" fontId="1" fillId="47" borderId="13" xfId="0" applyFont="1" applyFill="1" applyBorder="1" applyAlignment="1">
      <alignment horizontal="center"/>
    </xf>
    <xf numFmtId="0" fontId="1" fillId="44" borderId="9" xfId="0" applyFont="1" applyFill="1" applyBorder="1" applyAlignment="1">
      <alignment horizontal="center"/>
    </xf>
    <xf numFmtId="0" fontId="1" fillId="41" borderId="9" xfId="0" applyFont="1" applyFill="1" applyBorder="1" applyAlignment="1">
      <alignment horizontal="center"/>
    </xf>
    <xf numFmtId="0" fontId="1" fillId="50" borderId="9" xfId="0" applyFont="1" applyFill="1" applyBorder="1" applyAlignment="1">
      <alignment horizontal="center" vertical="center"/>
    </xf>
    <xf numFmtId="0" fontId="2" fillId="4" borderId="14" xfId="0" applyFont="1" applyFill="1" applyBorder="1" applyAlignment="1">
      <alignment horizontal="center" vertical="top"/>
    </xf>
    <xf numFmtId="0" fontId="2" fillId="4" borderId="15" xfId="0" applyFont="1" applyFill="1" applyBorder="1" applyAlignment="1">
      <alignment horizontal="center" vertical="top"/>
    </xf>
    <xf numFmtId="0" fontId="2" fillId="4" borderId="13" xfId="0" applyFont="1" applyFill="1" applyBorder="1" applyAlignment="1">
      <alignment horizontal="center" vertical="top"/>
    </xf>
    <xf numFmtId="0" fontId="2" fillId="4" borderId="9"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0" fillId="3" borderId="0" xfId="0" applyFill="1" applyBorder="1"/>
    <xf numFmtId="0" fontId="0" fillId="0" borderId="0" xfId="0" applyBorder="1"/>
    <xf numFmtId="9" fontId="0" fillId="0" borderId="9" xfId="0" applyNumberFormat="1" applyBorder="1"/>
    <xf numFmtId="9" fontId="0" fillId="0" borderId="0" xfId="0" applyNumberFormat="1" applyBorder="1"/>
    <xf numFmtId="9" fontId="0" fillId="0" borderId="7" xfId="0" applyNumberFormat="1" applyBorder="1"/>
    <xf numFmtId="9" fontId="0" fillId="0" borderId="8" xfId="0" applyNumberFormat="1" applyBorder="1"/>
  </cellXfs>
  <cellStyles count="2">
    <cellStyle name="Normal" xfId="0" builtinId="0"/>
    <cellStyle name="Percent" xfId="1" builtinId="5"/>
  </cellStyles>
  <dxfs count="242">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numFmt numFmtId="13" formatCode="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i val="0"/>
        <strike val="0"/>
        <condense val="0"/>
        <extend val="0"/>
        <outline val="0"/>
        <shadow val="0"/>
        <u val="none"/>
        <vertAlign val="baseline"/>
        <sz val="11"/>
        <color theme="1"/>
        <name val="Calibri"/>
        <family val="2"/>
        <scheme val="minor"/>
      </font>
      <numFmt numFmtId="13" formatCode="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border diagonalUp="0" diagonalDown="0">
        <left style="thin">
          <color indexed="64"/>
        </left>
        <right style="thin">
          <color indexed="64"/>
        </right>
        <top style="thin">
          <color theme="5" tint="0.39997558519241921"/>
        </top>
        <bottom style="thin">
          <color theme="5"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border diagonalUp="0" diagonalDown="0">
        <left/>
        <right style="thin">
          <color indexed="64"/>
        </right>
        <top style="thin">
          <color theme="5" tint="0.39997558519241921"/>
        </top>
        <bottom style="thin">
          <color theme="5" tint="0.39997558519241921"/>
        </bottom>
        <vertical/>
        <horizontal/>
      </border>
    </dxf>
    <dxf>
      <border outline="0">
        <top style="thin">
          <color theme="5" tint="0.39997558519241921"/>
        </top>
      </border>
    </dxf>
    <dxf>
      <border outline="0">
        <left style="thin">
          <color indexed="64"/>
        </left>
        <right style="thin">
          <color indexed="64"/>
        </right>
        <top style="thin">
          <color indexed="64"/>
        </top>
        <bottom style="thin">
          <color indexed="64"/>
        </bottom>
      </border>
    </dxf>
    <dxf>
      <border outline="0">
        <bottom style="thin">
          <color indexed="64"/>
        </bottom>
      </border>
    </dxf>
    <dxf>
      <font>
        <b/>
        <i/>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3" formatCode="0%"/>
    </dxf>
    <dxf>
      <font>
        <b/>
        <i val="0"/>
        <strike val="0"/>
        <condense val="0"/>
        <extend val="0"/>
        <outline val="0"/>
        <shadow val="0"/>
        <u val="none"/>
        <vertAlign val="baseline"/>
        <sz val="11"/>
        <color theme="1"/>
        <name val="Calibri"/>
        <family val="2"/>
        <scheme val="minor"/>
      </font>
    </dxf>
    <dxf>
      <font>
        <b/>
      </font>
    </dxf>
    <dxf>
      <font>
        <b/>
      </font>
    </dxf>
    <dxf>
      <font>
        <b/>
      </font>
    </dxf>
    <dxf>
      <font>
        <b/>
      </font>
    </dxf>
    <dxf>
      <font>
        <b/>
      </font>
    </dxf>
    <dxf>
      <font>
        <b/>
      </font>
    </dxf>
    <dxf>
      <font>
        <b/>
      </font>
    </dxf>
    <dxf>
      <font>
        <b/>
      </font>
      <border diagonalUp="0" diagonalDown="0" outline="0">
        <left/>
        <right style="thin">
          <color indexed="64"/>
        </right>
      </border>
    </dxf>
    <dxf>
      <border diagonalUp="0" diagonalDown="0">
        <left style="thin">
          <color indexed="64"/>
        </left>
        <right style="thin">
          <color indexed="64"/>
        </right>
        <top style="thin">
          <color indexed="64"/>
        </top>
        <bottom style="thin">
          <color indexed="64"/>
        </bottom>
      </border>
    </dxf>
    <dxf>
      <font>
        <b/>
      </font>
    </dxf>
    <dxf>
      <border>
        <bottom style="thin">
          <color indexed="64"/>
        </bottom>
      </border>
    </dxf>
    <dxf>
      <font>
        <b/>
        <i val="0"/>
      </font>
      <border diagonalUp="0" diagonalDown="0" outline="0">
        <left style="thin">
          <color indexed="64"/>
        </left>
        <right style="thin">
          <color indexed="64"/>
        </right>
        <top/>
        <bottom/>
      </border>
    </dxf>
    <dxf>
      <border>
        <top style="thin">
          <color indexed="64"/>
        </top>
        <vertical style="thin">
          <color indexed="64"/>
        </vertical>
        <horizontal style="thin">
          <color indexed="64"/>
        </horizontal>
      </border>
    </dxf>
    <dxf>
      <border>
        <top style="thin">
          <color indexed="64"/>
        </top>
        <vertical style="thin">
          <color indexed="64"/>
        </vertical>
        <horizontal style="thin">
          <color indexed="64"/>
        </horizontal>
      </border>
    </dxf>
    <dxf>
      <border>
        <bottom style="thin">
          <color indexed="64"/>
        </bottom>
        <vertical style="thin">
          <color indexed="64"/>
        </vertical>
        <horizontal style="thin">
          <color indexed="64"/>
        </horizontal>
      </border>
    </dxf>
    <dxf>
      <border>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wrapText="1"/>
    </dxf>
    <dxf>
      <numFmt numFmtId="13" formatCode="0%"/>
    </dxf>
    <dxf>
      <border>
        <top style="thin">
          <color indexed="64"/>
        </top>
        <vertical style="thin">
          <color indexed="64"/>
        </vertical>
        <horizontal style="thin">
          <color indexed="64"/>
        </horizontal>
      </border>
    </dxf>
    <dxf>
      <border>
        <top style="thin">
          <color indexed="64"/>
        </top>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border>
        <top style="thin">
          <color indexed="64"/>
        </top>
        <vertical style="thin">
          <color indexed="64"/>
        </vertical>
        <horizontal style="thin">
          <color indexed="64"/>
        </horizontal>
      </border>
    </dxf>
    <dxf>
      <border>
        <top style="thin">
          <color indexed="64"/>
        </top>
        <vertical style="thin">
          <color indexed="64"/>
        </vertical>
        <horizontal style="thin">
          <color indexed="64"/>
        </horizontal>
      </border>
    </dxf>
    <dxf>
      <border>
        <left style="thin">
          <color indexed="64"/>
        </left>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top style="thin">
          <color indexed="64"/>
        </top>
        <vertical style="thin">
          <color indexed="64"/>
        </vertical>
        <horizontal style="thin">
          <color indexed="64"/>
        </horizontal>
      </border>
    </dxf>
    <dxf>
      <border>
        <top style="thin">
          <color indexed="64"/>
        </top>
        <vertical style="thin">
          <color indexed="64"/>
        </vertical>
        <horizontal style="thin">
          <color indexed="64"/>
        </horizontal>
      </border>
    </dxf>
    <dxf>
      <border>
        <left style="thin">
          <color indexed="64"/>
        </left>
      </border>
    </dxf>
    <dxf>
      <border>
        <bottom style="thin">
          <color indexed="64"/>
        </bottom>
        <vertical style="thin">
          <color indexed="64"/>
        </vertical>
        <horizontal style="thin">
          <color indexed="64"/>
        </horizontal>
      </border>
    </dxf>
    <dxf>
      <border>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ont>
        <b/>
      </font>
      <alignment horizontal="general" vertical="center" textRotation="0" wrapText="0" indent="0" justifyLastLine="0" shrinkToFit="0" readingOrder="0"/>
    </dxf>
    <dxf>
      <font>
        <b/>
      </font>
      <alignment horizontal="general" vertical="center" textRotation="0" wrapText="0" indent="0" justifyLastLine="0" shrinkToFit="0" readingOrder="0"/>
    </dxf>
    <dxf>
      <font>
        <b/>
      </font>
      <alignment horizontal="general" vertical="center" textRotation="0" wrapText="1" indent="0" justifyLastLine="0" shrinkToFit="0" readingOrder="0"/>
    </dxf>
    <dxf>
      <font>
        <b/>
      </font>
      <alignment horizontal="general" vertical="center" textRotation="0" wrapText="0" indent="0" justifyLastLine="0" shrinkToFit="0" readingOrder="0"/>
    </dxf>
    <dxf>
      <font>
        <b/>
      </font>
      <alignment horizontal="general" vertical="center" textRotation="0" wrapText="0" indent="0" justifyLastLine="0" shrinkToFit="0" readingOrder="0"/>
      <border diagonalUp="0" diagonalDown="0">
        <left style="thin">
          <color indexed="64"/>
        </left>
        <right/>
        <top/>
        <bottom/>
        <vertical/>
        <horizontal/>
      </border>
    </dxf>
    <dxf>
      <font>
        <b/>
      </font>
      <alignment horizontal="general"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font>
        <b/>
      </font>
      <alignment horizontal="general" vertical="center" textRotation="0" wrapText="0" indent="0" justifyLastLine="0" shrinkToFit="0" readingOrder="0"/>
    </dxf>
    <dxf>
      <border>
        <bottom style="thin">
          <color indexed="64"/>
        </bottom>
      </border>
    </dxf>
    <dxf>
      <alignment horizontal="general"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font>
    </dxf>
    <dxf>
      <font>
        <b/>
      </font>
    </dxf>
    <dxf>
      <font>
        <b/>
      </font>
    </dxf>
    <dxf>
      <font>
        <b/>
      </font>
    </dxf>
    <dxf>
      <font>
        <b/>
      </font>
    </dxf>
    <dxf>
      <font>
        <b/>
      </font>
      <border diagonalUp="0" diagonalDown="0">
        <left style="thin">
          <color indexed="64"/>
        </left>
        <right/>
        <top/>
        <bottom/>
        <vertical/>
        <horizontal/>
      </border>
    </dxf>
    <dxf>
      <font>
        <b/>
      </font>
    </dxf>
    <dxf>
      <border diagonalUp="0" diagonalDown="0">
        <left style="thin">
          <color indexed="64"/>
        </left>
        <right style="thin">
          <color indexed="64"/>
        </right>
        <top style="thin">
          <color indexed="64"/>
        </top>
        <bottom style="thin">
          <color indexed="64"/>
        </bottom>
      </border>
    </dxf>
    <dxf>
      <font>
        <b/>
      </font>
    </dxf>
    <dxf>
      <border>
        <bottom style="thin">
          <color indexed="64"/>
        </bottom>
      </border>
    </dxf>
    <dxf>
      <font>
        <b/>
      </font>
      <alignment horizontal="general" vertical="center" textRotation="0" wrapText="0" indent="0" justifyLastLine="0" shrinkToFit="0" readingOrder="0"/>
      <border diagonalUp="0" diagonalDown="0" outline="0">
        <left style="thin">
          <color indexed="64"/>
        </left>
        <right style="thin">
          <color indexed="64"/>
        </right>
        <top/>
        <bottom/>
      </border>
    </dxf>
    <dxf>
      <border>
        <bottom style="thin">
          <color indexed="64"/>
        </bottom>
        <vertical style="thin">
          <color indexed="64"/>
        </vertical>
        <horizontal style="thin">
          <color indexed="64"/>
        </horizontal>
      </border>
    </dxf>
    <dxf>
      <border>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border>
    </dxf>
    <dxf>
      <border>
        <left style="thin">
          <color indexed="64"/>
        </left>
      </border>
    </dxf>
    <dxf>
      <border>
        <bottom style="thin">
          <color indexed="64"/>
        </bottom>
        <vertical style="thin">
          <color indexed="64"/>
        </vertical>
        <horizontal style="thin">
          <color indexed="64"/>
        </horizontal>
      </border>
    </dxf>
    <dxf>
      <border>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alignment horizontal="righ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3" formatCode="0%"/>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right style="thin">
          <color indexed="64"/>
        </right>
        <top/>
        <bottom/>
        <vertical/>
        <horizontal/>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left"/>
    </dxf>
    <dxf>
      <alignment vertical="center"/>
    </dxf>
    <dxf>
      <alignment vertical="center"/>
    </dxf>
    <dxf>
      <alignment horizontal="left"/>
    </dxf>
    <dxf>
      <alignment horizontal="lef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left"/>
    </dxf>
    <dxf>
      <alignment horizontal="left"/>
    </dxf>
    <dxf>
      <alignment wrapText="0"/>
    </dxf>
    <dxf>
      <alignment vertical="center"/>
    </dxf>
    <dxf>
      <alignment vertical="center"/>
    </dxf>
    <dxf>
      <alignment horizontal="general"/>
    </dxf>
    <dxf>
      <alignment wrapText="1"/>
    </dxf>
    <dxf>
      <border>
        <left style="thin">
          <color indexed="64"/>
        </lef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left"/>
    </dxf>
    <dxf>
      <alignment vertical="center"/>
    </dxf>
    <dxf>
      <alignment vertical="center"/>
    </dxf>
    <dxf>
      <alignment horizontal="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left"/>
    </dxf>
  </dxfs>
  <tableStyles count="0" defaultTableStyle="TableStyleMedium2" defaultPivotStyle="PivotStyleLight16"/>
  <colors>
    <mruColors>
      <color rgb="FFEA6CCC"/>
      <color rgb="FF84D686"/>
      <color rgb="FFFF9933"/>
      <color rgb="FFFF4B4B"/>
      <color rgb="FFFF6D4B"/>
      <color rgb="FF33CCFF"/>
      <color rgb="FFCC66FF"/>
      <color rgb="FFFF66FF"/>
      <color rgb="FFFF9900"/>
      <color rgb="FFEE8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2.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openxmlformats.org/officeDocument/2006/relationships/pivotCacheDefinition" Target="pivotCache/pivotCacheDefinition6.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VAR Over Time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3.2988134680488709E-2"/>
          <c:y val="6.8826855665161557E-2"/>
          <c:w val="0.95675415070308301"/>
          <c:h val="0.82184094070077185"/>
        </c:manualLayout>
      </c:layout>
      <c:lineChart>
        <c:grouping val="standard"/>
        <c:varyColors val="0"/>
        <c:ser>
          <c:idx val="0"/>
          <c:order val="0"/>
          <c:tx>
            <c:strRef>
              <c:f>'Voting Accuracy'!$V$182</c:f>
              <c:strCache>
                <c:ptCount val="1"/>
                <c:pt idx="0">
                  <c:v>VAR</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'Voting Accuracy'!$U$183:$U$226</c:f>
              <c:strCache>
                <c:ptCount val="44"/>
                <c:pt idx="0">
                  <c:v>Richard Hatch</c:v>
                </c:pt>
                <c:pt idx="1">
                  <c:v>Tina Wesson</c:v>
                </c:pt>
                <c:pt idx="2">
                  <c:v>Ethan Zohn</c:v>
                </c:pt>
                <c:pt idx="3">
                  <c:v>Vecepia Townsend</c:v>
                </c:pt>
                <c:pt idx="4">
                  <c:v>Brian Heidik</c:v>
                </c:pt>
                <c:pt idx="5">
                  <c:v>Jenna Morasca</c:v>
                </c:pt>
                <c:pt idx="6">
                  <c:v>Sandra Diaz-Twine (1)</c:v>
                </c:pt>
                <c:pt idx="7">
                  <c:v>amber brkich</c:v>
                </c:pt>
                <c:pt idx="8">
                  <c:v>Chris Daugherty</c:v>
                </c:pt>
                <c:pt idx="9">
                  <c:v>Tom Westman</c:v>
                </c:pt>
                <c:pt idx="10">
                  <c:v>Danni Boatwright</c:v>
                </c:pt>
                <c:pt idx="11">
                  <c:v>Aras Baskauskas</c:v>
                </c:pt>
                <c:pt idx="12">
                  <c:v>Yul Kwon</c:v>
                </c:pt>
                <c:pt idx="13">
                  <c:v>Earl Cole</c:v>
                </c:pt>
                <c:pt idx="14">
                  <c:v>Todd Herzog</c:v>
                </c:pt>
                <c:pt idx="15">
                  <c:v>Parvati Shallow</c:v>
                </c:pt>
                <c:pt idx="16">
                  <c:v>Bob Crowley</c:v>
                </c:pt>
                <c:pt idx="17">
                  <c:v>J.T. Thomas</c:v>
                </c:pt>
                <c:pt idx="18">
                  <c:v>Natalie White</c:v>
                </c:pt>
                <c:pt idx="19">
                  <c:v>Sandra Diaz-Twine</c:v>
                </c:pt>
                <c:pt idx="20">
                  <c:v>Jud Birza</c:v>
                </c:pt>
                <c:pt idx="21">
                  <c:v>Rob Mariano</c:v>
                </c:pt>
                <c:pt idx="22">
                  <c:v>Sophie Clarke</c:v>
                </c:pt>
                <c:pt idx="23">
                  <c:v>Kim Spradlin</c:v>
                </c:pt>
                <c:pt idx="24">
                  <c:v>Denise Stapley</c:v>
                </c:pt>
                <c:pt idx="25">
                  <c:v>John Cochran</c:v>
                </c:pt>
                <c:pt idx="26">
                  <c:v>Tyson Apostol</c:v>
                </c:pt>
                <c:pt idx="27">
                  <c:v>Tony Vlachos (1)</c:v>
                </c:pt>
                <c:pt idx="28">
                  <c:v>Natalie Anderson</c:v>
                </c:pt>
                <c:pt idx="29">
                  <c:v>Mike Holloway</c:v>
                </c:pt>
                <c:pt idx="30">
                  <c:v>Jeremy Collins</c:v>
                </c:pt>
                <c:pt idx="31">
                  <c:v>Michele Fitzgerald</c:v>
                </c:pt>
                <c:pt idx="32">
                  <c:v>Adam Klein</c:v>
                </c:pt>
                <c:pt idx="33">
                  <c:v>Sarah Lacina</c:v>
                </c:pt>
                <c:pt idx="34">
                  <c:v>Ben Driebergen</c:v>
                </c:pt>
                <c:pt idx="35">
                  <c:v>Wendell Holland</c:v>
                </c:pt>
                <c:pt idx="36">
                  <c:v>Nick Wilson</c:v>
                </c:pt>
                <c:pt idx="37">
                  <c:v>Chris Underwood</c:v>
                </c:pt>
                <c:pt idx="38">
                  <c:v>Tommy Sheehan</c:v>
                </c:pt>
                <c:pt idx="39">
                  <c:v>Tony Vlachos</c:v>
                </c:pt>
                <c:pt idx="40">
                  <c:v>Erika Casupanan</c:v>
                </c:pt>
                <c:pt idx="41">
                  <c:v>Maryanne Oketch</c:v>
                </c:pt>
                <c:pt idx="42">
                  <c:v>Mike Gabler</c:v>
                </c:pt>
                <c:pt idx="43">
                  <c:v>Yam Yam Arocho</c:v>
                </c:pt>
              </c:strCache>
            </c:strRef>
          </c:cat>
          <c:val>
            <c:numRef>
              <c:f>'Voting Accuracy'!$V$183:$V$226</c:f>
              <c:numCache>
                <c:formatCode>0%</c:formatCode>
                <c:ptCount val="44"/>
                <c:pt idx="0">
                  <c:v>0.91</c:v>
                </c:pt>
                <c:pt idx="1">
                  <c:v>1</c:v>
                </c:pt>
                <c:pt idx="2">
                  <c:v>1</c:v>
                </c:pt>
                <c:pt idx="3">
                  <c:v>0.67</c:v>
                </c:pt>
                <c:pt idx="4">
                  <c:v>1</c:v>
                </c:pt>
                <c:pt idx="5">
                  <c:v>0.81</c:v>
                </c:pt>
                <c:pt idx="6">
                  <c:v>0.75</c:v>
                </c:pt>
                <c:pt idx="7">
                  <c:v>1</c:v>
                </c:pt>
                <c:pt idx="8">
                  <c:v>0.83</c:v>
                </c:pt>
                <c:pt idx="9">
                  <c:v>0.86</c:v>
                </c:pt>
                <c:pt idx="10">
                  <c:v>0.83</c:v>
                </c:pt>
                <c:pt idx="11">
                  <c:v>0.78</c:v>
                </c:pt>
                <c:pt idx="12">
                  <c:v>1</c:v>
                </c:pt>
                <c:pt idx="13">
                  <c:v>0.89</c:v>
                </c:pt>
                <c:pt idx="14">
                  <c:v>1</c:v>
                </c:pt>
                <c:pt idx="15">
                  <c:v>1</c:v>
                </c:pt>
                <c:pt idx="16">
                  <c:v>0.56000000000000005</c:v>
                </c:pt>
                <c:pt idx="17">
                  <c:v>0.82</c:v>
                </c:pt>
                <c:pt idx="18">
                  <c:v>1</c:v>
                </c:pt>
                <c:pt idx="19">
                  <c:v>0.83</c:v>
                </c:pt>
                <c:pt idx="20">
                  <c:v>0.6</c:v>
                </c:pt>
                <c:pt idx="21">
                  <c:v>0.92</c:v>
                </c:pt>
                <c:pt idx="22">
                  <c:v>0.85</c:v>
                </c:pt>
                <c:pt idx="23">
                  <c:v>0.9</c:v>
                </c:pt>
                <c:pt idx="24">
                  <c:v>0.79</c:v>
                </c:pt>
                <c:pt idx="25">
                  <c:v>0.71</c:v>
                </c:pt>
                <c:pt idx="26">
                  <c:v>0.91</c:v>
                </c:pt>
                <c:pt idx="27">
                  <c:v>1</c:v>
                </c:pt>
                <c:pt idx="28">
                  <c:v>0.78</c:v>
                </c:pt>
                <c:pt idx="29">
                  <c:v>0.82</c:v>
                </c:pt>
                <c:pt idx="30">
                  <c:v>0.73</c:v>
                </c:pt>
                <c:pt idx="31">
                  <c:v>0.67</c:v>
                </c:pt>
                <c:pt idx="32">
                  <c:v>0.83</c:v>
                </c:pt>
                <c:pt idx="33">
                  <c:v>0.83</c:v>
                </c:pt>
                <c:pt idx="34">
                  <c:v>0.78</c:v>
                </c:pt>
                <c:pt idx="35">
                  <c:v>0.78</c:v>
                </c:pt>
                <c:pt idx="36">
                  <c:v>0.75</c:v>
                </c:pt>
                <c:pt idx="37">
                  <c:v>0.8</c:v>
                </c:pt>
                <c:pt idx="38">
                  <c:v>0.89</c:v>
                </c:pt>
                <c:pt idx="39">
                  <c:v>0.75</c:v>
                </c:pt>
                <c:pt idx="40">
                  <c:v>0.93</c:v>
                </c:pt>
                <c:pt idx="41">
                  <c:v>0.88</c:v>
                </c:pt>
                <c:pt idx="42">
                  <c:v>0.89</c:v>
                </c:pt>
                <c:pt idx="43">
                  <c:v>0.7</c:v>
                </c:pt>
              </c:numCache>
            </c:numRef>
          </c:val>
          <c:smooth val="0"/>
          <c:extLst>
            <c:ext xmlns:c16="http://schemas.microsoft.com/office/drawing/2014/chart" uri="{C3380CC4-5D6E-409C-BE32-E72D297353CC}">
              <c16:uniqueId val="{00000000-730F-4243-8C1B-2013F7CC485B}"/>
            </c:ext>
          </c:extLst>
        </c:ser>
        <c:dLbls>
          <c:dLblPos val="ctr"/>
          <c:showLegendKey val="0"/>
          <c:showVal val="1"/>
          <c:showCatName val="0"/>
          <c:showSerName val="0"/>
          <c:showPercent val="0"/>
          <c:showBubbleSize val="0"/>
        </c:dLbls>
        <c:marker val="1"/>
        <c:smooth val="0"/>
        <c:axId val="153587584"/>
        <c:axId val="153579904"/>
      </c:lineChart>
      <c:catAx>
        <c:axId val="1535875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3579904"/>
        <c:crosses val="autoZero"/>
        <c:auto val="1"/>
        <c:lblAlgn val="ctr"/>
        <c:lblOffset val="100"/>
        <c:noMultiLvlLbl val="0"/>
      </c:catAx>
      <c:valAx>
        <c:axId val="153579904"/>
        <c:scaling>
          <c:orientation val="minMax"/>
          <c:max val="1"/>
          <c:min val="0.5"/>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5358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[SURVIVOR Project - Jack Powell.xlsm]Voting Accuracy!PivotTable6</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Comparative</a:t>
            </a:r>
            <a:r>
              <a:rPr lang="en-US" baseline="0"/>
              <a:t> Rankings Of Winners (Higher Ranking Left, Lower Ranking Right) - VAR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'Voting Accuracy'!$Q$123</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'Voting Accuracy'!$P$124:$P$168</c:f>
              <c:strCache>
                <c:ptCount val="44"/>
                <c:pt idx="0">
                  <c:v>Parvati Shallow</c:v>
                </c:pt>
                <c:pt idx="1">
                  <c:v>Natalie White</c:v>
                </c:pt>
                <c:pt idx="2">
                  <c:v>Brian Heidik</c:v>
                </c:pt>
                <c:pt idx="3">
                  <c:v>Tony Vlachos (1)</c:v>
                </c:pt>
                <c:pt idx="4">
                  <c:v>Ethan Zohn</c:v>
                </c:pt>
                <c:pt idx="5">
                  <c:v>Amber Brkich2</c:v>
                </c:pt>
                <c:pt idx="6">
                  <c:v>Tina Wesson</c:v>
                </c:pt>
                <c:pt idx="7">
                  <c:v>Yul Kwon</c:v>
                </c:pt>
                <c:pt idx="8">
                  <c:v>Todd Herzog</c:v>
                </c:pt>
                <c:pt idx="9">
                  <c:v>Erika Casupanan</c:v>
                </c:pt>
                <c:pt idx="10">
                  <c:v>Rob Mariano</c:v>
                </c:pt>
                <c:pt idx="11">
                  <c:v>Richard Hatch</c:v>
                </c:pt>
                <c:pt idx="12">
                  <c:v>Tyson Apostol</c:v>
                </c:pt>
                <c:pt idx="13">
                  <c:v>Kim spradlin2</c:v>
                </c:pt>
                <c:pt idx="14">
                  <c:v>Tommy Sheehan</c:v>
                </c:pt>
                <c:pt idx="15">
                  <c:v>Mike Gabler</c:v>
                </c:pt>
                <c:pt idx="16">
                  <c:v>Earl Cole</c:v>
                </c:pt>
                <c:pt idx="17">
                  <c:v>Maryanne Oketch</c:v>
                </c:pt>
                <c:pt idx="18">
                  <c:v>Tom Westman</c:v>
                </c:pt>
                <c:pt idx="19">
                  <c:v>Sophie Clarke</c:v>
                </c:pt>
                <c:pt idx="20">
                  <c:v>Adam Klein</c:v>
                </c:pt>
                <c:pt idx="21">
                  <c:v>Danni Boatwright</c:v>
                </c:pt>
                <c:pt idx="22">
                  <c:v>Sandra Diaz-Twine (1)</c:v>
                </c:pt>
                <c:pt idx="23">
                  <c:v>Chris Daugherty</c:v>
                </c:pt>
                <c:pt idx="24">
                  <c:v>Sarah Lacina</c:v>
                </c:pt>
                <c:pt idx="25">
                  <c:v>Jenna Morasca</c:v>
                </c:pt>
                <c:pt idx="26">
                  <c:v>Mike Holloway</c:v>
                </c:pt>
                <c:pt idx="27">
                  <c:v>J.T. Thomas</c:v>
                </c:pt>
                <c:pt idx="28">
                  <c:v>Chris Underwood</c:v>
                </c:pt>
                <c:pt idx="29">
                  <c:v>Denise Stapley</c:v>
                </c:pt>
                <c:pt idx="30">
                  <c:v>Natalie Anderson</c:v>
                </c:pt>
                <c:pt idx="31">
                  <c:v>Wendell Holland</c:v>
                </c:pt>
                <c:pt idx="32">
                  <c:v>Ben Driebergen</c:v>
                </c:pt>
                <c:pt idx="33">
                  <c:v>Aras Baskauskas</c:v>
                </c:pt>
                <c:pt idx="34">
                  <c:v>Nick Wilson</c:v>
                </c:pt>
                <c:pt idx="35">
                  <c:v>Sandra Diaz-Twine</c:v>
                </c:pt>
                <c:pt idx="36">
                  <c:v>Tony Vlachos</c:v>
                </c:pt>
                <c:pt idx="37">
                  <c:v>Jeremy Collins</c:v>
                </c:pt>
                <c:pt idx="38">
                  <c:v>John Cochran</c:v>
                </c:pt>
                <c:pt idx="39">
                  <c:v>Yam Yam Arocho</c:v>
                </c:pt>
                <c:pt idx="40">
                  <c:v>Vecepia Townsend</c:v>
                </c:pt>
                <c:pt idx="41">
                  <c:v>Michele Fitzgerald</c:v>
                </c:pt>
                <c:pt idx="42">
                  <c:v>Jud Birza</c:v>
                </c:pt>
                <c:pt idx="43">
                  <c:v>Bob Crowley</c:v>
                </c:pt>
              </c:strCache>
            </c:strRef>
          </c:cat>
          <c:val>
            <c:numRef>
              <c:f>'Voting Accuracy'!$Q$124:$Q$168</c:f>
              <c:numCache>
                <c:formatCode>General</c:formatCode>
                <c:ptCount val="44"/>
                <c:pt idx="0">
                  <c:v>1</c:v>
                </c:pt>
                <c:pt idx="1">
                  <c:v>1</c:v>
                </c:pt>
                <c:pt idx="2">
                  <c:v>1</c:v>
                </c:pt>
                <c:pt idx="3">
                  <c:v>1</c:v>
                </c:pt>
                <c:pt idx="4">
                  <c:v>1</c:v>
                </c:pt>
                <c:pt idx="5">
                  <c:v>1</c:v>
                </c:pt>
                <c:pt idx="6">
                  <c:v>1</c:v>
                </c:pt>
                <c:pt idx="7">
                  <c:v>1</c:v>
                </c:pt>
                <c:pt idx="8">
                  <c:v>1</c:v>
                </c:pt>
                <c:pt idx="9">
                  <c:v>10</c:v>
                </c:pt>
                <c:pt idx="10">
                  <c:v>11</c:v>
                </c:pt>
                <c:pt idx="11">
                  <c:v>12</c:v>
                </c:pt>
                <c:pt idx="12">
                  <c:v>12</c:v>
                </c:pt>
                <c:pt idx="13">
                  <c:v>14</c:v>
                </c:pt>
                <c:pt idx="14">
                  <c:v>15</c:v>
                </c:pt>
                <c:pt idx="15">
                  <c:v>15</c:v>
                </c:pt>
                <c:pt idx="16">
                  <c:v>15</c:v>
                </c:pt>
                <c:pt idx="17">
                  <c:v>18</c:v>
                </c:pt>
                <c:pt idx="18">
                  <c:v>19</c:v>
                </c:pt>
                <c:pt idx="19">
                  <c:v>20</c:v>
                </c:pt>
                <c:pt idx="20">
                  <c:v>21</c:v>
                </c:pt>
                <c:pt idx="21">
                  <c:v>21</c:v>
                </c:pt>
                <c:pt idx="22">
                  <c:v>21</c:v>
                </c:pt>
                <c:pt idx="23">
                  <c:v>21</c:v>
                </c:pt>
                <c:pt idx="24">
                  <c:v>21</c:v>
                </c:pt>
                <c:pt idx="25">
                  <c:v>26</c:v>
                </c:pt>
                <c:pt idx="26">
                  <c:v>26</c:v>
                </c:pt>
                <c:pt idx="27">
                  <c:v>26</c:v>
                </c:pt>
                <c:pt idx="28">
                  <c:v>29</c:v>
                </c:pt>
                <c:pt idx="29">
                  <c:v>30</c:v>
                </c:pt>
                <c:pt idx="30">
                  <c:v>31</c:v>
                </c:pt>
                <c:pt idx="31">
                  <c:v>31</c:v>
                </c:pt>
                <c:pt idx="32">
                  <c:v>31</c:v>
                </c:pt>
                <c:pt idx="33">
                  <c:v>31</c:v>
                </c:pt>
                <c:pt idx="34">
                  <c:v>35</c:v>
                </c:pt>
                <c:pt idx="35">
                  <c:v>35</c:v>
                </c:pt>
                <c:pt idx="36">
                  <c:v>35</c:v>
                </c:pt>
                <c:pt idx="37">
                  <c:v>38</c:v>
                </c:pt>
                <c:pt idx="38">
                  <c:v>39</c:v>
                </c:pt>
                <c:pt idx="39">
                  <c:v>40</c:v>
                </c:pt>
                <c:pt idx="40">
                  <c:v>41</c:v>
                </c:pt>
                <c:pt idx="41">
                  <c:v>41</c:v>
                </c:pt>
                <c:pt idx="42">
                  <c:v>43</c:v>
                </c:pt>
                <c:pt idx="43">
                  <c:v>44</c:v>
                </c:pt>
              </c:numCache>
            </c:numRef>
          </c:val>
          <c:extLst>
            <c:ext xmlns:c16="http://schemas.microsoft.com/office/drawing/2014/chart" uri="{C3380CC4-5D6E-409C-BE32-E72D297353CC}">
              <c16:uniqueId val="{00000000-5BB8-414A-B074-8025A12463F4}"/>
            </c:ext>
          </c:extLst>
        </c:ser>
        <c:dLbls>
          <c:dLblPos val="inEnd"/>
          <c:showLegendKey val="0"/>
          <c:showVal val="1"/>
          <c:showCatName val="0"/>
          <c:showSerName val="0"/>
          <c:showPercent val="0"/>
          <c:showBubbleSize val="0"/>
        </c:dLbls>
        <c:gapWidth val="65"/>
        <c:axId val="2111301903"/>
        <c:axId val="2111304303"/>
      </c:barChart>
      <c:catAx>
        <c:axId val="211130190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11304303"/>
        <c:crosses val="autoZero"/>
        <c:auto val="1"/>
        <c:lblAlgn val="ctr"/>
        <c:lblOffset val="100"/>
        <c:noMultiLvlLbl val="0"/>
      </c:catAx>
      <c:valAx>
        <c:axId val="211130430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1130190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[SURVIVOR Project - Jack Powell.xlsm]Voting Accuracy!PivotTable7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Majority</a:t>
            </a:r>
            <a:r>
              <a:rPr lang="en-US" baseline="0"/>
              <a:t> vs. Minority Votes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'Voting Accuracy'!$S$123</c:f>
              <c:strCache>
                <c:ptCount val="1"/>
                <c:pt idx="0">
                  <c:v>Minority Votes</c:v>
                </c:pt>
              </c:strCache>
            </c:strRef>
          </c:tx>
          <c:spPr>
            <a:solidFill>
              <a:schemeClr val="accent2">
                <a:tint val="77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'Voting Accuracy'!$R$124:$R$168</c:f>
              <c:strCache>
                <c:ptCount val="44"/>
                <c:pt idx="0">
                  <c:v>Adam Klein</c:v>
                </c:pt>
                <c:pt idx="1">
                  <c:v>Aras Baskauskas</c:v>
                </c:pt>
                <c:pt idx="2">
                  <c:v>Ben Driebergen</c:v>
                </c:pt>
                <c:pt idx="3">
                  <c:v>Bob Crowley</c:v>
                </c:pt>
                <c:pt idx="4">
                  <c:v>Brian Heidik</c:v>
                </c:pt>
                <c:pt idx="5">
                  <c:v>Chris Daugherty</c:v>
                </c:pt>
                <c:pt idx="6">
                  <c:v>Chris Underwood</c:v>
                </c:pt>
                <c:pt idx="7">
                  <c:v>Danni Boatwright</c:v>
                </c:pt>
                <c:pt idx="8">
                  <c:v>Denise Stapley</c:v>
                </c:pt>
                <c:pt idx="9">
                  <c:v>Earl Cole</c:v>
                </c:pt>
                <c:pt idx="10">
                  <c:v>Erika Casupanan</c:v>
                </c:pt>
                <c:pt idx="11">
                  <c:v>Ethan Zohn</c:v>
                </c:pt>
                <c:pt idx="12">
                  <c:v>J.T. Thomas</c:v>
                </c:pt>
                <c:pt idx="13">
                  <c:v>Jenna Morasca</c:v>
                </c:pt>
                <c:pt idx="14">
                  <c:v>Jeremy Collins</c:v>
                </c:pt>
                <c:pt idx="15">
                  <c:v>John Cochran</c:v>
                </c:pt>
                <c:pt idx="16">
                  <c:v>Jud Birza</c:v>
                </c:pt>
                <c:pt idx="17">
                  <c:v>Maryanne Oketch</c:v>
                </c:pt>
                <c:pt idx="18">
                  <c:v>Michele Fitzgerald</c:v>
                </c:pt>
                <c:pt idx="19">
                  <c:v>Mike Gabler</c:v>
                </c:pt>
                <c:pt idx="20">
                  <c:v>Mike Holloway</c:v>
                </c:pt>
                <c:pt idx="21">
                  <c:v>Natalie Anderson</c:v>
                </c:pt>
                <c:pt idx="22">
                  <c:v>Natalie White</c:v>
                </c:pt>
                <c:pt idx="23">
                  <c:v>Nick Wilson</c:v>
                </c:pt>
                <c:pt idx="24">
                  <c:v>Parvati Shallow</c:v>
                </c:pt>
                <c:pt idx="25">
                  <c:v>Richard Hatch</c:v>
                </c:pt>
                <c:pt idx="26">
                  <c:v>Rob Mariano</c:v>
                </c:pt>
                <c:pt idx="27">
                  <c:v>Sandra Diaz-Twine</c:v>
                </c:pt>
                <c:pt idx="28">
                  <c:v>Sarah Lacina</c:v>
                </c:pt>
                <c:pt idx="29">
                  <c:v>Sophie Clarke</c:v>
                </c:pt>
                <c:pt idx="30">
                  <c:v>Tina Wesson</c:v>
                </c:pt>
                <c:pt idx="31">
                  <c:v>Todd Herzog</c:v>
                </c:pt>
                <c:pt idx="32">
                  <c:v>Tom Westman</c:v>
                </c:pt>
                <c:pt idx="33">
                  <c:v>Tommy Sheehan</c:v>
                </c:pt>
                <c:pt idx="34">
                  <c:v>Tony Vlachos</c:v>
                </c:pt>
                <c:pt idx="35">
                  <c:v>Tyson Apostol</c:v>
                </c:pt>
                <c:pt idx="36">
                  <c:v>Vecepia Townsend</c:v>
                </c:pt>
                <c:pt idx="37">
                  <c:v>Wendell Holland</c:v>
                </c:pt>
                <c:pt idx="38">
                  <c:v>Yam Yam Arocho</c:v>
                </c:pt>
                <c:pt idx="39">
                  <c:v>Yul Kwon</c:v>
                </c:pt>
                <c:pt idx="40">
                  <c:v>Sandra Diaz-Twine (1)</c:v>
                </c:pt>
                <c:pt idx="41">
                  <c:v>Tony Vlachos (1)</c:v>
                </c:pt>
                <c:pt idx="42">
                  <c:v>Kim spradlin2</c:v>
                </c:pt>
                <c:pt idx="43">
                  <c:v>Amber Brkich2</c:v>
                </c:pt>
              </c:strCache>
            </c:strRef>
          </c:cat>
          <c:val>
            <c:numRef>
              <c:f>'Voting Accuracy'!$S$124:$S$168</c:f>
              <c:numCache>
                <c:formatCode>General</c:formatCode>
                <c:ptCount val="44"/>
                <c:pt idx="0">
                  <c:v>2</c:v>
                </c:pt>
                <c:pt idx="1">
                  <c:v>1</c:v>
                </c:pt>
                <c:pt idx="2">
                  <c:v>3</c:v>
                </c:pt>
                <c:pt idx="3">
                  <c:v>4</c:v>
                </c:pt>
                <c:pt idx="4">
                  <c:v>0</c:v>
                </c:pt>
                <c:pt idx="5">
                  <c:v>2</c:v>
                </c:pt>
                <c:pt idx="6">
                  <c:v>3</c:v>
                </c:pt>
                <c:pt idx="7">
                  <c:v>2</c:v>
                </c:pt>
                <c:pt idx="8">
                  <c:v>1</c:v>
                </c:pt>
                <c:pt idx="9">
                  <c:v>2</c:v>
                </c:pt>
                <c:pt idx="10">
                  <c:v>0</c:v>
                </c:pt>
                <c:pt idx="11">
                  <c:v>0</c:v>
                </c:pt>
                <c:pt idx="12">
                  <c:v>2</c:v>
                </c:pt>
                <c:pt idx="13">
                  <c:v>2</c:v>
                </c:pt>
                <c:pt idx="14">
                  <c:v>3</c:v>
                </c:pt>
                <c:pt idx="15">
                  <c:v>3.5</c:v>
                </c:pt>
                <c:pt idx="16">
                  <c:v>4</c:v>
                </c:pt>
                <c:pt idx="17">
                  <c:v>1</c:v>
                </c:pt>
                <c:pt idx="18">
                  <c:v>1</c:v>
                </c:pt>
                <c:pt idx="19">
                  <c:v>1</c:v>
                </c:pt>
                <c:pt idx="20">
                  <c:v>3</c:v>
                </c:pt>
                <c:pt idx="21">
                  <c:v>3</c:v>
                </c:pt>
                <c:pt idx="22">
                  <c:v>1</c:v>
                </c:pt>
                <c:pt idx="23">
                  <c:v>3</c:v>
                </c:pt>
                <c:pt idx="24">
                  <c:v>1</c:v>
                </c:pt>
                <c:pt idx="25">
                  <c:v>1</c:v>
                </c:pt>
                <c:pt idx="26">
                  <c:v>1</c:v>
                </c:pt>
                <c:pt idx="27">
                  <c:v>3</c:v>
                </c:pt>
                <c:pt idx="28">
                  <c:v>2</c:v>
                </c:pt>
                <c:pt idx="29">
                  <c:v>2</c:v>
                </c:pt>
                <c:pt idx="30">
                  <c:v>0</c:v>
                </c:pt>
                <c:pt idx="31">
                  <c:v>0</c:v>
                </c:pt>
                <c:pt idx="32">
                  <c:v>0</c:v>
                </c:pt>
                <c:pt idx="33">
                  <c:v>1</c:v>
                </c:pt>
                <c:pt idx="34">
                  <c:v>2</c:v>
                </c:pt>
                <c:pt idx="35">
                  <c:v>1</c:v>
                </c:pt>
                <c:pt idx="36">
                  <c:v>3</c:v>
                </c:pt>
                <c:pt idx="37">
                  <c:v>1</c:v>
                </c:pt>
                <c:pt idx="38">
                  <c:v>1</c:v>
                </c:pt>
                <c:pt idx="39">
                  <c:v>0</c:v>
                </c:pt>
                <c:pt idx="40">
                  <c:v>2</c:v>
                </c:pt>
                <c:pt idx="41">
                  <c:v>0</c:v>
                </c:pt>
                <c:pt idx="42">
                  <c:v>1</c:v>
                </c:pt>
                <c:pt idx="43">
                  <c:v>0</c:v>
                </c:pt>
              </c:numCache>
            </c:numRef>
          </c:val>
          <c:extLst>
            <c:ext xmlns:c16="http://schemas.microsoft.com/office/drawing/2014/chart" uri="{C3380CC4-5D6E-409C-BE32-E72D297353CC}">
              <c16:uniqueId val="{00000000-19A2-4D64-A536-86CE0B0A5635}"/>
            </c:ext>
          </c:extLst>
        </c:ser>
        <c:ser>
          <c:idx val="1"/>
          <c:order val="1"/>
          <c:tx>
            <c:strRef>
              <c:f>'Voting Accuracy'!$T$123</c:f>
              <c:strCache>
                <c:ptCount val="1"/>
                <c:pt idx="0">
                  <c:v>Majority Votes</c:v>
                </c:pt>
              </c:strCache>
            </c:strRef>
          </c:tx>
          <c:spPr>
            <a:solidFill>
              <a:schemeClr val="accent2">
                <a:shade val="76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'Voting Accuracy'!$R$124:$R$168</c:f>
              <c:strCache>
                <c:ptCount val="44"/>
                <c:pt idx="0">
                  <c:v>Adam Klein</c:v>
                </c:pt>
                <c:pt idx="1">
                  <c:v>Aras Baskauskas</c:v>
                </c:pt>
                <c:pt idx="2">
                  <c:v>Ben Driebergen</c:v>
                </c:pt>
                <c:pt idx="3">
                  <c:v>Bob Crowley</c:v>
                </c:pt>
                <c:pt idx="4">
                  <c:v>Brian Heidik</c:v>
                </c:pt>
                <c:pt idx="5">
                  <c:v>Chris Daugherty</c:v>
                </c:pt>
                <c:pt idx="6">
                  <c:v>Chris Underwood</c:v>
                </c:pt>
                <c:pt idx="7">
                  <c:v>Danni Boatwright</c:v>
                </c:pt>
                <c:pt idx="8">
                  <c:v>Denise Stapley</c:v>
                </c:pt>
                <c:pt idx="9">
                  <c:v>Earl Cole</c:v>
                </c:pt>
                <c:pt idx="10">
                  <c:v>Erika Casupanan</c:v>
                </c:pt>
                <c:pt idx="11">
                  <c:v>Ethan Zohn</c:v>
                </c:pt>
                <c:pt idx="12">
                  <c:v>J.T. Thomas</c:v>
                </c:pt>
                <c:pt idx="13">
                  <c:v>Jenna Morasca</c:v>
                </c:pt>
                <c:pt idx="14">
                  <c:v>Jeremy Collins</c:v>
                </c:pt>
                <c:pt idx="15">
                  <c:v>John Cochran</c:v>
                </c:pt>
                <c:pt idx="16">
                  <c:v>Jud Birza</c:v>
                </c:pt>
                <c:pt idx="17">
                  <c:v>Maryanne Oketch</c:v>
                </c:pt>
                <c:pt idx="18">
                  <c:v>Michele Fitzgerald</c:v>
                </c:pt>
                <c:pt idx="19">
                  <c:v>Mike Gabler</c:v>
                </c:pt>
                <c:pt idx="20">
                  <c:v>Mike Holloway</c:v>
                </c:pt>
                <c:pt idx="21">
                  <c:v>Natalie Anderson</c:v>
                </c:pt>
                <c:pt idx="22">
                  <c:v>Natalie White</c:v>
                </c:pt>
                <c:pt idx="23">
                  <c:v>Nick Wilson</c:v>
                </c:pt>
                <c:pt idx="24">
                  <c:v>Parvati Shallow</c:v>
                </c:pt>
                <c:pt idx="25">
                  <c:v>Richard Hatch</c:v>
                </c:pt>
                <c:pt idx="26">
                  <c:v>Rob Mariano</c:v>
                </c:pt>
                <c:pt idx="27">
                  <c:v>Sandra Diaz-Twine</c:v>
                </c:pt>
                <c:pt idx="28">
                  <c:v>Sarah Lacina</c:v>
                </c:pt>
                <c:pt idx="29">
                  <c:v>Sophie Clarke</c:v>
                </c:pt>
                <c:pt idx="30">
                  <c:v>Tina Wesson</c:v>
                </c:pt>
                <c:pt idx="31">
                  <c:v>Todd Herzog</c:v>
                </c:pt>
                <c:pt idx="32">
                  <c:v>Tom Westman</c:v>
                </c:pt>
                <c:pt idx="33">
                  <c:v>Tommy Sheehan</c:v>
                </c:pt>
                <c:pt idx="34">
                  <c:v>Tony Vlachos</c:v>
                </c:pt>
                <c:pt idx="35">
                  <c:v>Tyson Apostol</c:v>
                </c:pt>
                <c:pt idx="36">
                  <c:v>Vecepia Townsend</c:v>
                </c:pt>
                <c:pt idx="37">
                  <c:v>Wendell Holland</c:v>
                </c:pt>
                <c:pt idx="38">
                  <c:v>Yam Yam Arocho</c:v>
                </c:pt>
                <c:pt idx="39">
                  <c:v>Yul Kwon</c:v>
                </c:pt>
                <c:pt idx="40">
                  <c:v>Sandra Diaz-Twine (1)</c:v>
                </c:pt>
                <c:pt idx="41">
                  <c:v>Tony Vlachos (1)</c:v>
                </c:pt>
                <c:pt idx="42">
                  <c:v>Kim spradlin2</c:v>
                </c:pt>
                <c:pt idx="43">
                  <c:v>Amber Brkich2</c:v>
                </c:pt>
              </c:strCache>
            </c:strRef>
          </c:cat>
          <c:val>
            <c:numRef>
              <c:f>'Voting Accuracy'!$T$124:$T$168</c:f>
              <c:numCache>
                <c:formatCode>General</c:formatCode>
                <c:ptCount val="44"/>
                <c:pt idx="0">
                  <c:v>10</c:v>
                </c:pt>
                <c:pt idx="1">
                  <c:v>7</c:v>
                </c:pt>
                <c:pt idx="2">
                  <c:v>6</c:v>
                </c:pt>
                <c:pt idx="3">
                  <c:v>5</c:v>
                </c:pt>
                <c:pt idx="4">
                  <c:v>9</c:v>
                </c:pt>
                <c:pt idx="5">
                  <c:v>10</c:v>
                </c:pt>
                <c:pt idx="6">
                  <c:v>2</c:v>
                </c:pt>
                <c:pt idx="7">
                  <c:v>10</c:v>
                </c:pt>
                <c:pt idx="8">
                  <c:v>13</c:v>
                </c:pt>
                <c:pt idx="9">
                  <c:v>7</c:v>
                </c:pt>
                <c:pt idx="10">
                  <c:v>7</c:v>
                </c:pt>
                <c:pt idx="11">
                  <c:v>10</c:v>
                </c:pt>
                <c:pt idx="12">
                  <c:v>9</c:v>
                </c:pt>
                <c:pt idx="13">
                  <c:v>9</c:v>
                </c:pt>
                <c:pt idx="14">
                  <c:v>8</c:v>
                </c:pt>
                <c:pt idx="15">
                  <c:v>8.5</c:v>
                </c:pt>
                <c:pt idx="16">
                  <c:v>6</c:v>
                </c:pt>
                <c:pt idx="17">
                  <c:v>7</c:v>
                </c:pt>
                <c:pt idx="18">
                  <c:v>5</c:v>
                </c:pt>
                <c:pt idx="19">
                  <c:v>8</c:v>
                </c:pt>
                <c:pt idx="20">
                  <c:v>8</c:v>
                </c:pt>
                <c:pt idx="21">
                  <c:v>6</c:v>
                </c:pt>
                <c:pt idx="22">
                  <c:v>13</c:v>
                </c:pt>
                <c:pt idx="23">
                  <c:v>9</c:v>
                </c:pt>
                <c:pt idx="24">
                  <c:v>7</c:v>
                </c:pt>
                <c:pt idx="25">
                  <c:v>9</c:v>
                </c:pt>
                <c:pt idx="26">
                  <c:v>12</c:v>
                </c:pt>
                <c:pt idx="27">
                  <c:v>9</c:v>
                </c:pt>
                <c:pt idx="28">
                  <c:v>10</c:v>
                </c:pt>
                <c:pt idx="29">
                  <c:v>11</c:v>
                </c:pt>
                <c:pt idx="30">
                  <c:v>10</c:v>
                </c:pt>
                <c:pt idx="31">
                  <c:v>9</c:v>
                </c:pt>
                <c:pt idx="32">
                  <c:v>7</c:v>
                </c:pt>
                <c:pt idx="33">
                  <c:v>8</c:v>
                </c:pt>
                <c:pt idx="34">
                  <c:v>10</c:v>
                </c:pt>
                <c:pt idx="35">
                  <c:v>10</c:v>
                </c:pt>
                <c:pt idx="36">
                  <c:v>8</c:v>
                </c:pt>
                <c:pt idx="37">
                  <c:v>8</c:v>
                </c:pt>
                <c:pt idx="38">
                  <c:v>9</c:v>
                </c:pt>
                <c:pt idx="39">
                  <c:v>9</c:v>
                </c:pt>
                <c:pt idx="40">
                  <c:v>9</c:v>
                </c:pt>
                <c:pt idx="41">
                  <c:v>9</c:v>
                </c:pt>
                <c:pt idx="42">
                  <c:v>9</c:v>
                </c:pt>
                <c:pt idx="43">
                  <c:v>8</c:v>
                </c:pt>
              </c:numCache>
            </c:numRef>
          </c:val>
          <c:extLst>
            <c:ext xmlns:c16="http://schemas.microsoft.com/office/drawing/2014/chart" uri="{C3380CC4-5D6E-409C-BE32-E72D297353CC}">
              <c16:uniqueId val="{00000001-19A2-4D64-A536-86CE0B0A5635}"/>
            </c:ext>
          </c:extLst>
        </c:ser>
        <c:dLbls>
          <c:dLblPos val="ctr"/>
          <c:showLegendKey val="0"/>
          <c:showVal val="1"/>
          <c:showCatName val="0"/>
          <c:showSerName val="0"/>
          <c:showPercent val="0"/>
          <c:showBubbleSize val="0"/>
        </c:dLbls>
        <c:gapWidth val="150"/>
        <c:overlap val="100"/>
        <c:axId val="2017359567"/>
        <c:axId val="2017359087"/>
      </c:barChart>
      <c:catAx>
        <c:axId val="201735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17359087"/>
        <c:crosses val="autoZero"/>
        <c:auto val="1"/>
        <c:lblAlgn val="ctr"/>
        <c:lblOffset val="100"/>
        <c:noMultiLvlLbl val="0"/>
      </c:catAx>
      <c:valAx>
        <c:axId val="201735908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017359567"/>
        <c:crosses val="autoZero"/>
        <c:crossBetween val="between"/>
      </c:valAx>
      <c:spPr>
        <a:noFill/>
        <a:ln>
          <a:noFill/>
        </a:ln>
        <a:effectLst/>
      </c:spPr>
    </c:plotArea>
    <c:legend>
      <c:legendPos val="r"/>
      <c:layout>
        <c:manualLayout>
          <c:xMode val="edge"/>
          <c:yMode val="edge"/>
          <c:x val="0.90706059421248164"/>
          <c:y val="0.44664122144920088"/>
          <c:w val="8.7352814018327687E-2"/>
          <c:h val="0.1364133663939022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VAR Comparison</a:t>
            </a:r>
            <a:r>
              <a:rPr lang="en-US" baseline="0"/>
              <a:t> By Gender</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61C-4205-941E-C2760AF97DF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61C-4205-941E-C2760AF97DF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61C-4205-941E-C2760AF97DF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61C-4205-941E-C2760AF97DF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'Voting Accuracy'!$U$338:$U$341</c:f>
              <c:strCache>
                <c:ptCount val="4"/>
                <c:pt idx="0">
                  <c:v>Above VAR M</c:v>
                </c:pt>
                <c:pt idx="1">
                  <c:v>Above VAR F</c:v>
                </c:pt>
                <c:pt idx="2">
                  <c:v>Below VAR M</c:v>
                </c:pt>
                <c:pt idx="3">
                  <c:v>Below VAR F</c:v>
                </c:pt>
              </c:strCache>
            </c:strRef>
          </c:cat>
          <c:val>
            <c:numRef>
              <c:f>'Voting Accuracy'!$V$338:$V$341</c:f>
              <c:numCache>
                <c:formatCode>0%</c:formatCode>
                <c:ptCount val="4"/>
                <c:pt idx="0">
                  <c:v>0.45454545454545453</c:v>
                </c:pt>
                <c:pt idx="1">
                  <c:v>0.29545454545454547</c:v>
                </c:pt>
                <c:pt idx="2" formatCode="#\ ??/??">
                  <c:v>0.15909090909090909</c:v>
                </c:pt>
                <c:pt idx="3" formatCode="#\ ??/??">
                  <c:v>9.0909090909090912E-2</c:v>
                </c:pt>
              </c:numCache>
            </c:numRef>
          </c:val>
          <c:extLst>
            <c:ext xmlns:c16="http://schemas.microsoft.com/office/drawing/2014/chart" uri="{C3380CC4-5D6E-409C-BE32-E72D297353CC}">
              <c16:uniqueId val="{00000000-CCE2-44F8-B1E6-1872E67EB6F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[SURVIVOR Project - Jack Powell.xlsm]Alliance Size!PivotTable1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Number Of Alliances By Size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'Alliance Size'!$K$149</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'Alliance Size'!$J$150:$J$156</c:f>
              <c:strCache>
                <c:ptCount val="6"/>
                <c:pt idx="0">
                  <c:v>3</c:v>
                </c:pt>
                <c:pt idx="1">
                  <c:v>4</c:v>
                </c:pt>
                <c:pt idx="2">
                  <c:v>5</c:v>
                </c:pt>
                <c:pt idx="3">
                  <c:v>6</c:v>
                </c:pt>
                <c:pt idx="4">
                  <c:v>7</c:v>
                </c:pt>
                <c:pt idx="5">
                  <c:v>8</c:v>
                </c:pt>
              </c:strCache>
            </c:strRef>
          </c:cat>
          <c:val>
            <c:numRef>
              <c:f>'Alliance Size'!$K$150:$K$156</c:f>
              <c:numCache>
                <c:formatCode>General</c:formatCode>
                <c:ptCount val="6"/>
                <c:pt idx="0">
                  <c:v>12</c:v>
                </c:pt>
                <c:pt idx="1">
                  <c:v>27</c:v>
                </c:pt>
                <c:pt idx="2">
                  <c:v>31</c:v>
                </c:pt>
                <c:pt idx="3">
                  <c:v>20</c:v>
                </c:pt>
                <c:pt idx="4">
                  <c:v>11</c:v>
                </c:pt>
                <c:pt idx="5">
                  <c:v>3</c:v>
                </c:pt>
              </c:numCache>
            </c:numRef>
          </c:val>
          <c:extLst>
            <c:ext xmlns:c16="http://schemas.microsoft.com/office/drawing/2014/chart" uri="{C3380CC4-5D6E-409C-BE32-E72D297353CC}">
              <c16:uniqueId val="{00000000-9104-49AD-97C1-4A68CDAB8655}"/>
            </c:ext>
          </c:extLst>
        </c:ser>
        <c:dLbls>
          <c:dLblPos val="inEnd"/>
          <c:showLegendKey val="0"/>
          <c:showVal val="1"/>
          <c:showCatName val="0"/>
          <c:showSerName val="0"/>
          <c:showPercent val="0"/>
          <c:showBubbleSize val="0"/>
        </c:dLbls>
        <c:gapWidth val="65"/>
        <c:axId val="575964015"/>
        <c:axId val="575963055"/>
      </c:barChart>
      <c:catAx>
        <c:axId val="57596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75963055"/>
        <c:crosses val="autoZero"/>
        <c:auto val="1"/>
        <c:lblAlgn val="ctr"/>
        <c:lblOffset val="100"/>
        <c:noMultiLvlLbl val="0"/>
      </c:catAx>
      <c:valAx>
        <c:axId val="57596305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7596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[SURVIVOR Project - Jack Powell.xlsm]Alliance Size!PivotTable4</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Average</a:t>
            </a:r>
            <a:r>
              <a:rPr lang="en-US" baseline="0"/>
              <a:t> Placements By Alliance Size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'Alliance Size'!$K$159</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'Alliance Size'!$J$160:$J$166</c:f>
              <c:strCache>
                <c:ptCount val="6"/>
                <c:pt idx="0">
                  <c:v>3</c:v>
                </c:pt>
                <c:pt idx="1">
                  <c:v>6</c:v>
                </c:pt>
                <c:pt idx="2">
                  <c:v>8</c:v>
                </c:pt>
                <c:pt idx="3">
                  <c:v>5</c:v>
                </c:pt>
                <c:pt idx="4">
                  <c:v>7</c:v>
                </c:pt>
                <c:pt idx="5">
                  <c:v>4</c:v>
                </c:pt>
              </c:strCache>
            </c:strRef>
          </c:cat>
          <c:val>
            <c:numRef>
              <c:f>'Alliance Size'!$K$160:$K$166</c:f>
              <c:numCache>
                <c:formatCode>General</c:formatCode>
                <c:ptCount val="6"/>
                <c:pt idx="0">
                  <c:v>7.6666666666666652</c:v>
                </c:pt>
                <c:pt idx="1">
                  <c:v>7.1416666666666657</c:v>
                </c:pt>
                <c:pt idx="2">
                  <c:v>7.083333333333333</c:v>
                </c:pt>
                <c:pt idx="3">
                  <c:v>6.3933333333333326</c:v>
                </c:pt>
                <c:pt idx="4">
                  <c:v>6.3766233766233773</c:v>
                </c:pt>
                <c:pt idx="5">
                  <c:v>6.1851851851851851</c:v>
                </c:pt>
              </c:numCache>
            </c:numRef>
          </c:val>
          <c:extLst>
            <c:ext xmlns:c16="http://schemas.microsoft.com/office/drawing/2014/chart" uri="{C3380CC4-5D6E-409C-BE32-E72D297353CC}">
              <c16:uniqueId val="{00000000-BF8F-49E2-9BBF-4A3AAD7B238F}"/>
            </c:ext>
          </c:extLst>
        </c:ser>
        <c:dLbls>
          <c:dLblPos val="inEnd"/>
          <c:showLegendKey val="0"/>
          <c:showVal val="1"/>
          <c:showCatName val="0"/>
          <c:showSerName val="0"/>
          <c:showPercent val="0"/>
          <c:showBubbleSize val="0"/>
        </c:dLbls>
        <c:gapWidth val="65"/>
        <c:overlap val="100"/>
        <c:axId val="674980687"/>
        <c:axId val="674981167"/>
      </c:barChart>
      <c:catAx>
        <c:axId val="67498068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4981167"/>
        <c:crosses val="autoZero"/>
        <c:auto val="1"/>
        <c:lblAlgn val="ctr"/>
        <c:lblOffset val="100"/>
        <c:noMultiLvlLbl val="0"/>
      </c:catAx>
      <c:valAx>
        <c:axId val="674981167"/>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674980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[SURVIVOR Project - Jack Powell.xlsm]Alliance Size!PivotTable3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Individual Alliance Average</a:t>
            </a:r>
            <a:r>
              <a:rPr lang="en-US" baseline="0"/>
              <a:t> Placement Metrics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pPr>
            <a:solidFill>
              <a:schemeClr val="accent2">
                <a:alpha val="85000"/>
              </a:schemeClr>
            </a:solidFill>
            <a:ln>
              <a:noFill/>
            </a:ln>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72290284921858"/>
          <c:y val="6.338695178522015E-2"/>
          <c:w val="0.80693971701541689"/>
          <c:h val="0.91115242136854346"/>
        </c:manualLayout>
      </c:layout>
      <c:barChart>
        <c:barDir val="bar"/>
        <c:grouping val="clustered"/>
        <c:varyColors val="0"/>
        <c:ser>
          <c:idx val="0"/>
          <c:order val="0"/>
          <c:tx>
            <c:strRef>
              <c:f>'Alliance Size'!$O$149</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cat>
            <c:strRef>
              <c:f>'Alliance Size'!$N$150:$N$253</c:f>
              <c:strCache>
                <c:ptCount val="103"/>
                <c:pt idx="0">
                  <c:v>Russell's Zapatera Alliance</c:v>
                </c:pt>
                <c:pt idx="1">
                  <c:v>Muscle Alliance</c:v>
                </c:pt>
                <c:pt idx="2">
                  <c:v>Older Airai Alliance</c:v>
                </c:pt>
                <c:pt idx="3">
                  <c:v>Gota Alliance</c:v>
                </c:pt>
                <c:pt idx="4">
                  <c:v>Cool Kids Alliance/Three Amigos</c:v>
                </c:pt>
                <c:pt idx="5">
                  <c:v>Triforce</c:v>
                </c:pt>
                <c:pt idx="6">
                  <c:v>Takali Alliance</c:v>
                </c:pt>
                <c:pt idx="7">
                  <c:v>Five Guys Alliance</c:v>
                </c:pt>
                <c:pt idx="8">
                  <c:v>Coyopa Guys Alliance</c:v>
                </c:pt>
                <c:pt idx="9">
                  <c:v>Heroes Alliance</c:v>
                </c:pt>
                <c:pt idx="10">
                  <c:v>Lairo Women's Alliance</c:v>
                </c:pt>
                <c:pt idx="11">
                  <c:v>Zapatera Six</c:v>
                </c:pt>
                <c:pt idx="12">
                  <c:v>Savaii Alliance</c:v>
                </c:pt>
                <c:pt idx="13">
                  <c:v>Older Samburu Alliance</c:v>
                </c:pt>
                <c:pt idx="14">
                  <c:v>Espada Alliance</c:v>
                </c:pt>
                <c:pt idx="15">
                  <c:v>Misfit Alliance</c:v>
                </c:pt>
                <c:pt idx="16">
                  <c:v>Rob's Villains Alliance</c:v>
                </c:pt>
                <c:pt idx="17">
                  <c:v>Younger Samburu Alliance</c:v>
                </c:pt>
                <c:pt idx="18">
                  <c:v>Soko Alliance</c:v>
                </c:pt>
                <c:pt idx="19">
                  <c:v>Yase Alliance</c:v>
                </c:pt>
                <c:pt idx="20">
                  <c:v>Ratu Alliance</c:v>
                </c:pt>
                <c:pt idx="21">
                  <c:v>Yaxhá Alliance</c:v>
                </c:pt>
                <c:pt idx="22">
                  <c:v>Witches' Coven</c:v>
                </c:pt>
                <c:pt idx="23">
                  <c:v>Mogo Mogo Alliance</c:v>
                </c:pt>
                <c:pt idx="24">
                  <c:v>La Mina Alliance</c:v>
                </c:pt>
                <c:pt idx="25">
                  <c:v>Nagarote Alliance</c:v>
                </c:pt>
                <c:pt idx="26">
                  <c:v>Fat Five</c:v>
                </c:pt>
                <c:pt idx="27">
                  <c:v>Morgan Alliance</c:v>
                </c:pt>
                <c:pt idx="28">
                  <c:v>Coco Alliance</c:v>
                </c:pt>
                <c:pt idx="29">
                  <c:v>Sook Jai Alliance</c:v>
                </c:pt>
                <c:pt idx="30">
                  <c:v>Goliath Alliance</c:v>
                </c:pt>
                <c:pt idx="31">
                  <c:v>Galu Alliance</c:v>
                </c:pt>
                <c:pt idx="32">
                  <c:v>Kalabaw Alliance</c:v>
                </c:pt>
                <c:pt idx="33">
                  <c:v>Rotu 4</c:v>
                </c:pt>
                <c:pt idx="34">
                  <c:v>Onion Alliance</c:v>
                </c:pt>
                <c:pt idx="35">
                  <c:v>Kama Six</c:v>
                </c:pt>
                <c:pt idx="36">
                  <c:v>Vokai Alliance</c:v>
                </c:pt>
                <c:pt idx="37">
                  <c:v>Maraamu Alliance</c:v>
                </c:pt>
                <c:pt idx="38">
                  <c:v>Barbeque Alliance</c:v>
                </c:pt>
                <c:pt idx="39">
                  <c:v>Tavua Alliance</c:v>
                </c:pt>
                <c:pt idx="40">
                  <c:v>Kucha Alliance</c:v>
                </c:pt>
                <c:pt idx="41">
                  <c:v>Zeke's Vinaka Alliance</c:v>
                </c:pt>
                <c:pt idx="42">
                  <c:v>Raro Alliance</c:v>
                </c:pt>
                <c:pt idx="43">
                  <c:v>Matsing Alliance</c:v>
                </c:pt>
                <c:pt idx="44">
                  <c:v>Aparri Alliance</c:v>
                </c:pt>
                <c:pt idx="45">
                  <c:v>Zhan Hu Alliance</c:v>
                </c:pt>
                <c:pt idx="46">
                  <c:v>Soka Alliance</c:v>
                </c:pt>
                <c:pt idx="47">
                  <c:v>Ride or Die</c:v>
                </c:pt>
                <c:pt idx="48">
                  <c:v>Advantage Alliance</c:v>
                </c:pt>
                <c:pt idx="49">
                  <c:v>Fang Alliance</c:v>
                </c:pt>
                <c:pt idx="50">
                  <c:v>Manu Alliance</c:v>
                </c:pt>
                <c:pt idx="51">
                  <c:v>Naviti Alliance</c:v>
                </c:pt>
                <c:pt idx="52">
                  <c:v>Four Horsemen</c:v>
                </c:pt>
                <c:pt idx="53">
                  <c:v>La Flor Alliance</c:v>
                </c:pt>
                <c:pt idx="54">
                  <c:v>Timbira Alliance</c:v>
                </c:pt>
                <c:pt idx="55">
                  <c:v>Bayon Alliance</c:v>
                </c:pt>
                <c:pt idx="56">
                  <c:v>David Alliance</c:v>
                </c:pt>
                <c:pt idx="57">
                  <c:v>Drake Alliance</c:v>
                </c:pt>
                <c:pt idx="58">
                  <c:v>Tandang Alliance</c:v>
                </c:pt>
                <c:pt idx="59">
                  <c:v>Gondol Alliance</c:v>
                </c:pt>
                <c:pt idx="60">
                  <c:v>Tambaqui Alliance</c:v>
                </c:pt>
                <c:pt idx="61">
                  <c:v>Campout Alliance</c:v>
                </c:pt>
                <c:pt idx="62">
                  <c:v>Escameca Alliance</c:v>
                </c:pt>
                <c:pt idx="63">
                  <c:v>Yasur Alliance</c:v>
                </c:pt>
                <c:pt idx="64">
                  <c:v>Exile Alliance</c:v>
                </c:pt>
                <c:pt idx="65">
                  <c:v>Jaburu Alliance</c:v>
                </c:pt>
                <c:pt idx="66">
                  <c:v>Fei Long Alliance</c:v>
                </c:pt>
                <c:pt idx="67">
                  <c:v>Power Six</c:v>
                </c:pt>
                <c:pt idx="68">
                  <c:v>Fulcrum Alliance</c:v>
                </c:pt>
                <c:pt idx="69">
                  <c:v>Solana Alliance</c:v>
                </c:pt>
                <c:pt idx="70">
                  <c:v>Final Four Alliance (21)</c:v>
                </c:pt>
                <c:pt idx="71">
                  <c:v>Nakúm Alliance</c:v>
                </c:pt>
                <c:pt idx="72">
                  <c:v>Dara Women's Alliance</c:v>
                </c:pt>
                <c:pt idx="73">
                  <c:v>The Round Table</c:v>
                </c:pt>
                <c:pt idx="74">
                  <c:v>Singles Alliance</c:v>
                </c:pt>
                <c:pt idx="75">
                  <c:v>Final Four Alliance (35)</c:v>
                </c:pt>
                <c:pt idx="76">
                  <c:v>Malakal Couples Alliance</c:v>
                </c:pt>
                <c:pt idx="77">
                  <c:v>Stealth R Us</c:v>
                </c:pt>
                <c:pt idx="78">
                  <c:v>Syndicate Alliance</c:v>
                </c:pt>
                <c:pt idx="79">
                  <c:v>Galang Alliance</c:v>
                </c:pt>
                <c:pt idx="80">
                  <c:v>Outcast Alliance</c:v>
                </c:pt>
                <c:pt idx="81">
                  <c:v>Casaya Alliance</c:v>
                </c:pt>
                <c:pt idx="82">
                  <c:v>Russell's Villains Alliance</c:v>
                </c:pt>
                <c:pt idx="83">
                  <c:v>Taku Four</c:v>
                </c:pt>
                <c:pt idx="84">
                  <c:v>Ogakor Alliance</c:v>
                </c:pt>
                <c:pt idx="85">
                  <c:v>The Family</c:v>
                </c:pt>
                <c:pt idx="86">
                  <c:v>David's Vinaka Alliance</c:v>
                </c:pt>
                <c:pt idx="87">
                  <c:v>Boran Alliance</c:v>
                </c:pt>
                <c:pt idx="88">
                  <c:v>Chapera Alliance</c:v>
                </c:pt>
                <c:pt idx="89">
                  <c:v>Salani Alliance</c:v>
                </c:pt>
                <c:pt idx="90">
                  <c:v>Fab Five</c:v>
                </c:pt>
                <c:pt idx="91">
                  <c:v>Final Four Alliance (41)</c:v>
                </c:pt>
                <c:pt idx="92">
                  <c:v>Black Widow Brigade</c:v>
                </c:pt>
                <c:pt idx="93">
                  <c:v>Koror Alliance</c:v>
                </c:pt>
                <c:pt idx="94">
                  <c:v>Outsiders Alliance</c:v>
                </c:pt>
                <c:pt idx="95">
                  <c:v>Chuay Gahn Five</c:v>
                </c:pt>
                <c:pt idx="96">
                  <c:v>Final Four Alliance (36)</c:v>
                </c:pt>
                <c:pt idx="97">
                  <c:v>Foa Foa Four</c:v>
                </c:pt>
                <c:pt idx="98">
                  <c:v>Tika Three</c:v>
                </c:pt>
                <c:pt idx="99">
                  <c:v>Final Four Alliance (9)</c:v>
                </c:pt>
                <c:pt idx="100">
                  <c:v>Tagi Alliance</c:v>
                </c:pt>
                <c:pt idx="101">
                  <c:v>Aitu Four</c:v>
                </c:pt>
                <c:pt idx="102">
                  <c:v>Jalapao Three</c:v>
                </c:pt>
              </c:strCache>
            </c:strRef>
          </c:cat>
          <c:val>
            <c:numRef>
              <c:f>'Alliance Size'!$O$150:$O$253</c:f>
              <c:numCache>
                <c:formatCode>General</c:formatCode>
                <c:ptCount val="103"/>
                <c:pt idx="0">
                  <c:v>15.333333333333334</c:v>
                </c:pt>
                <c:pt idx="1">
                  <c:v>13</c:v>
                </c:pt>
                <c:pt idx="2">
                  <c:v>13</c:v>
                </c:pt>
                <c:pt idx="3">
                  <c:v>12.166666666666666</c:v>
                </c:pt>
                <c:pt idx="4">
                  <c:v>11.6</c:v>
                </c:pt>
                <c:pt idx="5">
                  <c:v>11.333333333333334</c:v>
                </c:pt>
                <c:pt idx="6">
                  <c:v>11.333333333333334</c:v>
                </c:pt>
                <c:pt idx="7">
                  <c:v>11.2</c:v>
                </c:pt>
                <c:pt idx="8">
                  <c:v>11.2</c:v>
                </c:pt>
                <c:pt idx="9">
                  <c:v>10.666666666666666</c:v>
                </c:pt>
                <c:pt idx="10">
                  <c:v>10.199999999999999</c:v>
                </c:pt>
                <c:pt idx="11">
                  <c:v>10.166666666666666</c:v>
                </c:pt>
                <c:pt idx="12">
                  <c:v>9.8571428571428577</c:v>
                </c:pt>
                <c:pt idx="13">
                  <c:v>9.75</c:v>
                </c:pt>
                <c:pt idx="14">
                  <c:v>9.6666666666666661</c:v>
                </c:pt>
                <c:pt idx="15">
                  <c:v>9.6</c:v>
                </c:pt>
                <c:pt idx="16">
                  <c:v>9.3333333333333339</c:v>
                </c:pt>
                <c:pt idx="17">
                  <c:v>9.25</c:v>
                </c:pt>
                <c:pt idx="18">
                  <c:v>9.1999999999999993</c:v>
                </c:pt>
                <c:pt idx="19">
                  <c:v>9</c:v>
                </c:pt>
                <c:pt idx="20">
                  <c:v>8.6</c:v>
                </c:pt>
                <c:pt idx="21">
                  <c:v>8.5</c:v>
                </c:pt>
                <c:pt idx="22">
                  <c:v>8.5</c:v>
                </c:pt>
                <c:pt idx="23">
                  <c:v>8.25</c:v>
                </c:pt>
                <c:pt idx="24">
                  <c:v>8.25</c:v>
                </c:pt>
                <c:pt idx="25">
                  <c:v>8.25</c:v>
                </c:pt>
                <c:pt idx="26">
                  <c:v>8.1999999999999993</c:v>
                </c:pt>
                <c:pt idx="27">
                  <c:v>8.1999999999999993</c:v>
                </c:pt>
                <c:pt idx="28">
                  <c:v>8</c:v>
                </c:pt>
                <c:pt idx="29">
                  <c:v>8</c:v>
                </c:pt>
                <c:pt idx="30">
                  <c:v>7.875</c:v>
                </c:pt>
                <c:pt idx="31">
                  <c:v>7.8571428571428568</c:v>
                </c:pt>
                <c:pt idx="32">
                  <c:v>7.666666666666667</c:v>
                </c:pt>
                <c:pt idx="33">
                  <c:v>7.5</c:v>
                </c:pt>
                <c:pt idx="34">
                  <c:v>7.4285714285714288</c:v>
                </c:pt>
                <c:pt idx="35">
                  <c:v>7.333333333333333</c:v>
                </c:pt>
                <c:pt idx="36">
                  <c:v>7.333333333333333</c:v>
                </c:pt>
                <c:pt idx="37">
                  <c:v>7.25</c:v>
                </c:pt>
                <c:pt idx="38">
                  <c:v>7</c:v>
                </c:pt>
                <c:pt idx="39">
                  <c:v>7</c:v>
                </c:pt>
                <c:pt idx="40">
                  <c:v>7</c:v>
                </c:pt>
                <c:pt idx="41">
                  <c:v>7</c:v>
                </c:pt>
                <c:pt idx="42">
                  <c:v>7</c:v>
                </c:pt>
                <c:pt idx="43">
                  <c:v>7</c:v>
                </c:pt>
                <c:pt idx="44">
                  <c:v>7</c:v>
                </c:pt>
                <c:pt idx="45">
                  <c:v>7</c:v>
                </c:pt>
                <c:pt idx="46">
                  <c:v>7</c:v>
                </c:pt>
                <c:pt idx="47">
                  <c:v>6.75</c:v>
                </c:pt>
                <c:pt idx="48">
                  <c:v>6.75</c:v>
                </c:pt>
                <c:pt idx="49">
                  <c:v>6.7142857142857144</c:v>
                </c:pt>
                <c:pt idx="50">
                  <c:v>6.666666666666667</c:v>
                </c:pt>
                <c:pt idx="51">
                  <c:v>6.625</c:v>
                </c:pt>
                <c:pt idx="52">
                  <c:v>6.5</c:v>
                </c:pt>
                <c:pt idx="53">
                  <c:v>6.4</c:v>
                </c:pt>
                <c:pt idx="54">
                  <c:v>6.333333333333333</c:v>
                </c:pt>
                <c:pt idx="55">
                  <c:v>6.2857142857142856</c:v>
                </c:pt>
                <c:pt idx="56">
                  <c:v>6.2</c:v>
                </c:pt>
                <c:pt idx="57">
                  <c:v>6.2</c:v>
                </c:pt>
                <c:pt idx="58">
                  <c:v>6.166666666666667</c:v>
                </c:pt>
                <c:pt idx="59">
                  <c:v>6</c:v>
                </c:pt>
                <c:pt idx="60">
                  <c:v>5.833333333333333</c:v>
                </c:pt>
                <c:pt idx="61">
                  <c:v>5.75</c:v>
                </c:pt>
                <c:pt idx="62">
                  <c:v>5.6</c:v>
                </c:pt>
                <c:pt idx="63">
                  <c:v>5.5714285714285712</c:v>
                </c:pt>
                <c:pt idx="64">
                  <c:v>5.5</c:v>
                </c:pt>
                <c:pt idx="65">
                  <c:v>5.2857142857142856</c:v>
                </c:pt>
                <c:pt idx="66">
                  <c:v>5.2857142857142856</c:v>
                </c:pt>
                <c:pt idx="67">
                  <c:v>5</c:v>
                </c:pt>
                <c:pt idx="68">
                  <c:v>5</c:v>
                </c:pt>
                <c:pt idx="69">
                  <c:v>4.8</c:v>
                </c:pt>
                <c:pt idx="70">
                  <c:v>4.8</c:v>
                </c:pt>
                <c:pt idx="71">
                  <c:v>4.666666666666667</c:v>
                </c:pt>
                <c:pt idx="72">
                  <c:v>4.666666666666667</c:v>
                </c:pt>
                <c:pt idx="73">
                  <c:v>4.5714285714285712</c:v>
                </c:pt>
                <c:pt idx="74">
                  <c:v>4.5</c:v>
                </c:pt>
                <c:pt idx="75">
                  <c:v>4.5</c:v>
                </c:pt>
                <c:pt idx="76">
                  <c:v>4.4000000000000004</c:v>
                </c:pt>
                <c:pt idx="77">
                  <c:v>4.2857142857142856</c:v>
                </c:pt>
                <c:pt idx="78">
                  <c:v>4.25</c:v>
                </c:pt>
                <c:pt idx="79">
                  <c:v>4.2</c:v>
                </c:pt>
                <c:pt idx="80">
                  <c:v>4.2</c:v>
                </c:pt>
                <c:pt idx="81">
                  <c:v>4.166666666666667</c:v>
                </c:pt>
                <c:pt idx="82">
                  <c:v>4</c:v>
                </c:pt>
                <c:pt idx="83">
                  <c:v>4</c:v>
                </c:pt>
                <c:pt idx="84">
                  <c:v>4</c:v>
                </c:pt>
                <c:pt idx="85">
                  <c:v>4</c:v>
                </c:pt>
                <c:pt idx="86">
                  <c:v>3.8</c:v>
                </c:pt>
                <c:pt idx="87">
                  <c:v>3.8</c:v>
                </c:pt>
                <c:pt idx="88">
                  <c:v>3.6666666666666665</c:v>
                </c:pt>
                <c:pt idx="89">
                  <c:v>3.6</c:v>
                </c:pt>
                <c:pt idx="90">
                  <c:v>3.4</c:v>
                </c:pt>
                <c:pt idx="91">
                  <c:v>3.25</c:v>
                </c:pt>
                <c:pt idx="92">
                  <c:v>3.2</c:v>
                </c:pt>
                <c:pt idx="93">
                  <c:v>3.2</c:v>
                </c:pt>
                <c:pt idx="94">
                  <c:v>3</c:v>
                </c:pt>
                <c:pt idx="95">
                  <c:v>3</c:v>
                </c:pt>
                <c:pt idx="96">
                  <c:v>2.75</c:v>
                </c:pt>
                <c:pt idx="97">
                  <c:v>2.75</c:v>
                </c:pt>
                <c:pt idx="98">
                  <c:v>2.6666666666666665</c:v>
                </c:pt>
                <c:pt idx="99">
                  <c:v>2.5</c:v>
                </c:pt>
                <c:pt idx="100">
                  <c:v>2.5</c:v>
                </c:pt>
                <c:pt idx="101">
                  <c:v>2.5</c:v>
                </c:pt>
                <c:pt idx="102">
                  <c:v>2.3333333333333335</c:v>
                </c:pt>
              </c:numCache>
            </c:numRef>
          </c:val>
          <c:extLst>
            <c:ext xmlns:c16="http://schemas.microsoft.com/office/drawing/2014/chart" uri="{C3380CC4-5D6E-409C-BE32-E72D297353CC}">
              <c16:uniqueId val="{00000000-CB17-4887-8DE7-F7A4066243B1}"/>
            </c:ext>
          </c:extLst>
        </c:ser>
        <c:dLbls>
          <c:showLegendKey val="0"/>
          <c:showVal val="0"/>
          <c:showCatName val="0"/>
          <c:showSerName val="0"/>
          <c:showPercent val="0"/>
          <c:showBubbleSize val="0"/>
        </c:dLbls>
        <c:gapWidth val="65"/>
        <c:axId val="292568592"/>
        <c:axId val="292559472"/>
      </c:barChart>
      <c:catAx>
        <c:axId val="2925685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92559472"/>
        <c:crosses val="autoZero"/>
        <c:auto val="1"/>
        <c:lblAlgn val="ctr"/>
        <c:lblOffset val="100"/>
        <c:noMultiLvlLbl val="0"/>
      </c:catAx>
      <c:valAx>
        <c:axId val="29255947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92568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[SURVIVOR Project - Jack Powell.xlsm]Challenge Performance!PivotTable1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Male Win % vs. Female Win % By Challenge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083153679218914E-2"/>
          <c:y val="4.7815501886015133E-2"/>
          <c:w val="0.83071069121287244"/>
          <c:h val="0.76917124567272155"/>
        </c:manualLayout>
      </c:layout>
      <c:lineChart>
        <c:grouping val="standard"/>
        <c:varyColors val="0"/>
        <c:ser>
          <c:idx val="0"/>
          <c:order val="0"/>
          <c:tx>
            <c:strRef>
              <c:f>'Challenge Performance'!$N$283:$N$284</c:f>
              <c:strCache>
                <c:ptCount val="1"/>
                <c:pt idx="0">
                  <c:v>Sum of % Male Winners</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'Challenge Performance'!$M$285:$M$406</c:f>
              <c:strCache>
                <c:ptCount val="121"/>
                <c:pt idx="0">
                  <c:v>Ring Leader</c:v>
                </c:pt>
                <c:pt idx="1">
                  <c:v>Walk The Plank</c:v>
                </c:pt>
                <c:pt idx="2">
                  <c:v>Squatty Probst</c:v>
                </c:pt>
                <c:pt idx="3">
                  <c:v>Bone To Pick</c:v>
                </c:pt>
                <c:pt idx="4">
                  <c:v>Broken China</c:v>
                </c:pt>
                <c:pt idx="5">
                  <c:v>This Much</c:v>
                </c:pt>
                <c:pt idx="6">
                  <c:v>Fallen Comrades</c:v>
                </c:pt>
                <c:pt idx="7">
                  <c:v>Planks A Lot</c:v>
                </c:pt>
                <c:pt idx="8">
                  <c:v>You Shook Me</c:v>
                </c:pt>
                <c:pt idx="9">
                  <c:v>When It Rains, It Pours</c:v>
                </c:pt>
                <c:pt idx="10">
                  <c:v>Splash Back</c:v>
                </c:pt>
                <c:pt idx="11">
                  <c:v>Will It Go Round</c:v>
                </c:pt>
                <c:pt idx="12">
                  <c:v>Stacked Up</c:v>
                </c:pt>
                <c:pt idx="13">
                  <c:v>Shoot 'n' Shuffle</c:v>
                </c:pt>
                <c:pt idx="14">
                  <c:v>Gimme Three Steps</c:v>
                </c:pt>
                <c:pt idx="15">
                  <c:v>Kitty Litter</c:v>
                </c:pt>
                <c:pt idx="16">
                  <c:v>Fire Fighter</c:v>
                </c:pt>
                <c:pt idx="17">
                  <c:v>Cube Crisis</c:v>
                </c:pt>
                <c:pt idx="18">
                  <c:v>Survivor Quiz Show</c:v>
                </c:pt>
                <c:pt idx="19">
                  <c:v>Q And A</c:v>
                </c:pt>
                <c:pt idx="20">
                  <c:v>Ballin' A Jack</c:v>
                </c:pt>
                <c:pt idx="21">
                  <c:v>Will Power</c:v>
                </c:pt>
                <c:pt idx="22">
                  <c:v>Crocodile Rock</c:v>
                </c:pt>
                <c:pt idx="23">
                  <c:v>Sea Legs</c:v>
                </c:pt>
                <c:pt idx="24">
                  <c:v>Vampire Bats</c:v>
                </c:pt>
                <c:pt idx="25">
                  <c:v>Pot Head</c:v>
                </c:pt>
                <c:pt idx="26">
                  <c:v>Keep On Your Toes</c:v>
                </c:pt>
                <c:pt idx="27">
                  <c:v>House Of Cards</c:v>
                </c:pt>
                <c:pt idx="28">
                  <c:v>Get A Grip</c:v>
                </c:pt>
                <c:pt idx="29">
                  <c:v>Memory</c:v>
                </c:pt>
                <c:pt idx="30">
                  <c:v>A Leg Up</c:v>
                </c:pt>
                <c:pt idx="31">
                  <c:v>Shooting Gallery</c:v>
                </c:pt>
                <c:pt idx="32">
                  <c:v>On The Pull</c:v>
                </c:pt>
                <c:pt idx="33">
                  <c:v>Rusty Gates</c:v>
                </c:pt>
                <c:pt idx="34">
                  <c:v>Balancing Point</c:v>
                </c:pt>
                <c:pt idx="35">
                  <c:v>Dizzy Gillespie</c:v>
                </c:pt>
                <c:pt idx="36">
                  <c:v>Total Recall</c:v>
                </c:pt>
                <c:pt idx="37">
                  <c:v>Wrist Assured</c:v>
                </c:pt>
                <c:pt idx="38">
                  <c:v>Snake Island Relay</c:v>
                </c:pt>
                <c:pt idx="39">
                  <c:v>Hands On A Hard Idol</c:v>
                </c:pt>
                <c:pt idx="40">
                  <c:v>Do-It-Yourself Challenge</c:v>
                </c:pt>
                <c:pt idx="41">
                  <c:v>Bob-Bob Buoy</c:v>
                </c:pt>
                <c:pt idx="42">
                  <c:v>Mayan Pizza</c:v>
                </c:pt>
                <c:pt idx="43">
                  <c:v>Hold Your Own</c:v>
                </c:pt>
                <c:pt idx="44">
                  <c:v>Well Stacked</c:v>
                </c:pt>
                <c:pt idx="45">
                  <c:v>Domino Effect</c:v>
                </c:pt>
                <c:pt idx="46">
                  <c:v>Holy Hell</c:v>
                </c:pt>
                <c:pt idx="47">
                  <c:v>Eve 6</c:v>
                </c:pt>
                <c:pt idx="48">
                  <c:v>Might As Well Jump</c:v>
                </c:pt>
                <c:pt idx="49">
                  <c:v>Out On A Limb</c:v>
                </c:pt>
                <c:pt idx="50">
                  <c:v>Bow Diddley</c:v>
                </c:pt>
                <c:pt idx="51">
                  <c:v>Get Barreled</c:v>
                </c:pt>
                <c:pt idx="52">
                  <c:v>Simmotion</c:v>
                </c:pt>
                <c:pt idx="53">
                  <c:v>Buggin' Out</c:v>
                </c:pt>
                <c:pt idx="54">
                  <c:v>The Ball Drop</c:v>
                </c:pt>
                <c:pt idx="55">
                  <c:v>Operation Balance Build</c:v>
                </c:pt>
                <c:pt idx="56">
                  <c:v>Dizzy Miss Lizzy</c:v>
                </c:pt>
                <c:pt idx="57">
                  <c:v>The Game Is Afoot</c:v>
                </c:pt>
                <c:pt idx="58">
                  <c:v>Perch</c:v>
                </c:pt>
                <c:pt idx="59">
                  <c:v>Squared Off</c:v>
                </c:pt>
                <c:pt idx="60">
                  <c:v>Witch Hunt</c:v>
                </c:pt>
                <c:pt idx="61">
                  <c:v>Race To Shore</c:v>
                </c:pt>
                <c:pt idx="62">
                  <c:v>Over-Extended</c:v>
                </c:pt>
                <c:pt idx="63">
                  <c:v>Fast Fire</c:v>
                </c:pt>
                <c:pt idx="64">
                  <c:v>Nut Cracker</c:v>
                </c:pt>
                <c:pt idx="65">
                  <c:v>Hanging By A Thread</c:v>
                </c:pt>
                <c:pt idx="66">
                  <c:v>House Of The Holey</c:v>
                </c:pt>
                <c:pt idx="67">
                  <c:v>Can't Buoy Me Love</c:v>
                </c:pt>
                <c:pt idx="68">
                  <c:v>Vertigo</c:v>
                </c:pt>
                <c:pt idx="69">
                  <c:v>The Obstacle Course</c:v>
                </c:pt>
                <c:pt idx="70">
                  <c:v>Chimney Sweep</c:v>
                </c:pt>
                <c:pt idx="71">
                  <c:v>Mask Match</c:v>
                </c:pt>
                <c:pt idx="72">
                  <c:v>Pole Dancing</c:v>
                </c:pt>
                <c:pt idx="73">
                  <c:v>Uncomfortably Numb</c:v>
                </c:pt>
                <c:pt idx="74">
                  <c:v>Step On Up</c:v>
                </c:pt>
                <c:pt idx="75">
                  <c:v>Fire And Water</c:v>
                </c:pt>
                <c:pt idx="76">
                  <c:v>Box Your Mind</c:v>
                </c:pt>
                <c:pt idx="77">
                  <c:v>The Maze</c:v>
                </c:pt>
                <c:pt idx="78">
                  <c:v>The Home Stretch</c:v>
                </c:pt>
                <c:pt idx="79">
                  <c:v>Blue Plate Special</c:v>
                </c:pt>
                <c:pt idx="80">
                  <c:v>Push Me, Pull You</c:v>
                </c:pt>
                <c:pt idx="81">
                  <c:v>Roller Ball</c:v>
                </c:pt>
                <c:pt idx="82">
                  <c:v>Braille Maze</c:v>
                </c:pt>
                <c:pt idx="83">
                  <c:v>Chinese Zodiac Symbols</c:v>
                </c:pt>
                <c:pt idx="84">
                  <c:v>Swahili Scramble</c:v>
                </c:pt>
                <c:pt idx="85">
                  <c:v>Ram-Ball On</c:v>
                </c:pt>
                <c:pt idx="86">
                  <c:v>Around The Bend</c:v>
                </c:pt>
                <c:pt idx="87">
                  <c:v>Great Escape Run</c:v>
                </c:pt>
                <c:pt idx="88">
                  <c:v>A Bit Tipsy</c:v>
                </c:pt>
                <c:pt idx="89">
                  <c:v>Strung Out</c:v>
                </c:pt>
                <c:pt idx="90">
                  <c:v>Last Gasp</c:v>
                </c:pt>
                <c:pt idx="91">
                  <c:v>Mud Pack</c:v>
                </c:pt>
                <c:pt idx="92">
                  <c:v>Survivor Pentathlon</c:v>
                </c:pt>
                <c:pt idx="93">
                  <c:v>Paddle Out</c:v>
                </c:pt>
                <c:pt idx="94">
                  <c:v>Know Your Ropes</c:v>
                </c:pt>
                <c:pt idx="95">
                  <c:v>Troubled Water</c:v>
                </c:pt>
                <c:pt idx="96">
                  <c:v>Station By Station</c:v>
                </c:pt>
                <c:pt idx="97">
                  <c:v>Stomp-ede</c:v>
                </c:pt>
                <c:pt idx="98">
                  <c:v>Know Your Loved One</c:v>
                </c:pt>
                <c:pt idx="99">
                  <c:v>Cannonball Run</c:v>
                </c:pt>
                <c:pt idx="100">
                  <c:v>Coconut Juice</c:v>
                </c:pt>
                <c:pt idx="101">
                  <c:v>Wall To Wall</c:v>
                </c:pt>
                <c:pt idx="102">
                  <c:v>Spoon Man</c:v>
                </c:pt>
                <c:pt idx="103">
                  <c:v>Log Jam</c:v>
                </c:pt>
                <c:pt idx="104">
                  <c:v>Choose Your Weapon</c:v>
                </c:pt>
                <c:pt idx="105">
                  <c:v>Puzzle Dig</c:v>
                </c:pt>
                <c:pt idx="106">
                  <c:v>Drop A Log</c:v>
                </c:pt>
                <c:pt idx="107">
                  <c:v>Jail Break</c:v>
                </c:pt>
                <c:pt idx="108">
                  <c:v>Vertically Challenged</c:v>
                </c:pt>
                <c:pt idx="109">
                  <c:v>Mind Field</c:v>
                </c:pt>
                <c:pt idx="110">
                  <c:v>End Of The Line</c:v>
                </c:pt>
                <c:pt idx="111">
                  <c:v>Mud Bungee</c:v>
                </c:pt>
                <c:pt idx="112">
                  <c:v>Snag, Drag, And Bag</c:v>
                </c:pt>
                <c:pt idx="113">
                  <c:v>Keel Hauling</c:v>
                </c:pt>
                <c:pt idx="114">
                  <c:v>Letter Hunt</c:v>
                </c:pt>
                <c:pt idx="115">
                  <c:v>Rock Bottom</c:v>
                </c:pt>
                <c:pt idx="116">
                  <c:v>Pinball Wizard</c:v>
                </c:pt>
                <c:pt idx="117">
                  <c:v>5x5</c:v>
                </c:pt>
                <c:pt idx="118">
                  <c:v>Cling Ons</c:v>
                </c:pt>
                <c:pt idx="119">
                  <c:v>Running Down A Dream</c:v>
                </c:pt>
                <c:pt idx="120">
                  <c:v>Mud Slinging</c:v>
                </c:pt>
              </c:strCache>
            </c:strRef>
          </c:cat>
          <c:val>
            <c:numRef>
              <c:f>'Challenge Performance'!$N$285:$N$406</c:f>
              <c:numCache>
                <c:formatCode>0%</c:formatCode>
                <c:ptCount val="121"/>
                <c:pt idx="0">
                  <c:v>0</c:v>
                </c:pt>
                <c:pt idx="1">
                  <c:v>0</c:v>
                </c:pt>
                <c:pt idx="2">
                  <c:v>0</c:v>
                </c:pt>
                <c:pt idx="3">
                  <c:v>0</c:v>
                </c:pt>
                <c:pt idx="4">
                  <c:v>0</c:v>
                </c:pt>
                <c:pt idx="5">
                  <c:v>0.2</c:v>
                </c:pt>
                <c:pt idx="6">
                  <c:v>0.2</c:v>
                </c:pt>
                <c:pt idx="7">
                  <c:v>0.25</c:v>
                </c:pt>
                <c:pt idx="8">
                  <c:v>0.25</c:v>
                </c:pt>
                <c:pt idx="9">
                  <c:v>0.27272727272727271</c:v>
                </c:pt>
                <c:pt idx="10">
                  <c:v>0.27272727272727271</c:v>
                </c:pt>
                <c:pt idx="11">
                  <c:v>0.2857142857142857</c:v>
                </c:pt>
                <c:pt idx="12">
                  <c:v>0.33333333333333331</c:v>
                </c:pt>
                <c:pt idx="13">
                  <c:v>0.33333333333333331</c:v>
                </c:pt>
                <c:pt idx="14">
                  <c:v>0.33333333333333331</c:v>
                </c:pt>
                <c:pt idx="15">
                  <c:v>0.33333333333333331</c:v>
                </c:pt>
                <c:pt idx="16">
                  <c:v>0.33333333333333331</c:v>
                </c:pt>
                <c:pt idx="17">
                  <c:v>0.33333333333333331</c:v>
                </c:pt>
                <c:pt idx="18">
                  <c:v>0.33333333333333331</c:v>
                </c:pt>
                <c:pt idx="19">
                  <c:v>0.33333333333333331</c:v>
                </c:pt>
                <c:pt idx="20">
                  <c:v>0.33333333333333331</c:v>
                </c:pt>
                <c:pt idx="21">
                  <c:v>0.33333333333333331</c:v>
                </c:pt>
                <c:pt idx="22">
                  <c:v>0.375</c:v>
                </c:pt>
                <c:pt idx="23">
                  <c:v>0.4</c:v>
                </c:pt>
                <c:pt idx="24">
                  <c:v>0.4</c:v>
                </c:pt>
                <c:pt idx="25">
                  <c:v>0.4</c:v>
                </c:pt>
                <c:pt idx="26">
                  <c:v>0.42857142857142855</c:v>
                </c:pt>
                <c:pt idx="27">
                  <c:v>0.45454545454545453</c:v>
                </c:pt>
                <c:pt idx="28">
                  <c:v>0.46153846153846156</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0.53846153846153844</c:v>
                </c:pt>
                <c:pt idx="50">
                  <c:v>0.55555555555555558</c:v>
                </c:pt>
                <c:pt idx="51">
                  <c:v>0.55555555555555558</c:v>
                </c:pt>
                <c:pt idx="52">
                  <c:v>0.55555555555555558</c:v>
                </c:pt>
                <c:pt idx="53">
                  <c:v>0.5714285714285714</c:v>
                </c:pt>
                <c:pt idx="54">
                  <c:v>0.5714285714285714</c:v>
                </c:pt>
                <c:pt idx="55">
                  <c:v>0.6</c:v>
                </c:pt>
                <c:pt idx="56">
                  <c:v>0.6</c:v>
                </c:pt>
                <c:pt idx="57">
                  <c:v>0.6</c:v>
                </c:pt>
                <c:pt idx="58">
                  <c:v>0.6</c:v>
                </c:pt>
                <c:pt idx="59">
                  <c:v>0.6</c:v>
                </c:pt>
                <c:pt idx="60">
                  <c:v>0.625</c:v>
                </c:pt>
                <c:pt idx="61">
                  <c:v>0.625</c:v>
                </c:pt>
                <c:pt idx="62">
                  <c:v>0.625</c:v>
                </c:pt>
                <c:pt idx="63">
                  <c:v>0.625</c:v>
                </c:pt>
                <c:pt idx="64">
                  <c:v>0.66666666666666663</c:v>
                </c:pt>
                <c:pt idx="65">
                  <c:v>0.66666666666666663</c:v>
                </c:pt>
                <c:pt idx="66">
                  <c:v>0.66666666666666663</c:v>
                </c:pt>
                <c:pt idx="67">
                  <c:v>0.66666666666666663</c:v>
                </c:pt>
                <c:pt idx="68">
                  <c:v>0.66666666666666663</c:v>
                </c:pt>
                <c:pt idx="69">
                  <c:v>0.66666666666666663</c:v>
                </c:pt>
                <c:pt idx="70">
                  <c:v>0.66666666666666663</c:v>
                </c:pt>
                <c:pt idx="71">
                  <c:v>0.66666666666666663</c:v>
                </c:pt>
                <c:pt idx="72">
                  <c:v>0.7142857142857143</c:v>
                </c:pt>
                <c:pt idx="73">
                  <c:v>0.7142857142857143</c:v>
                </c:pt>
                <c:pt idx="74">
                  <c:v>0.7142857142857143</c:v>
                </c:pt>
                <c:pt idx="75">
                  <c:v>0.7142857142857143</c:v>
                </c:pt>
                <c:pt idx="76">
                  <c:v>0.7142857142857143</c:v>
                </c:pt>
                <c:pt idx="77">
                  <c:v>0.72727272727272729</c:v>
                </c:pt>
                <c:pt idx="78">
                  <c:v>0.75</c:v>
                </c:pt>
                <c:pt idx="79">
                  <c:v>0.75</c:v>
                </c:pt>
                <c:pt idx="80">
                  <c:v>0.75</c:v>
                </c:pt>
                <c:pt idx="81">
                  <c:v>0.75</c:v>
                </c:pt>
                <c:pt idx="82">
                  <c:v>0.75</c:v>
                </c:pt>
                <c:pt idx="83">
                  <c:v>0.75</c:v>
                </c:pt>
                <c:pt idx="84">
                  <c:v>0.75</c:v>
                </c:pt>
                <c:pt idx="85">
                  <c:v>0.75</c:v>
                </c:pt>
                <c:pt idx="86">
                  <c:v>0.7857142857142857</c:v>
                </c:pt>
                <c:pt idx="87">
                  <c:v>0.8</c:v>
                </c:pt>
                <c:pt idx="88">
                  <c:v>0.8</c:v>
                </c:pt>
                <c:pt idx="89">
                  <c:v>0.8</c:v>
                </c:pt>
                <c:pt idx="90">
                  <c:v>0.8</c:v>
                </c:pt>
                <c:pt idx="91">
                  <c:v>0.8</c:v>
                </c:pt>
                <c:pt idx="92">
                  <c:v>0.82352941176470584</c:v>
                </c:pt>
                <c:pt idx="93">
                  <c:v>0.9</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val>
          <c:smooth val="0"/>
          <c:extLst>
            <c:ext xmlns:c16="http://schemas.microsoft.com/office/drawing/2014/chart" uri="{C3380CC4-5D6E-409C-BE32-E72D297353CC}">
              <c16:uniqueId val="{00000000-F26A-4047-8D72-8FA56A03CEB2}"/>
            </c:ext>
          </c:extLst>
        </c:ser>
        <c:ser>
          <c:idx val="1"/>
          <c:order val="1"/>
          <c:tx>
            <c:strRef>
              <c:f>'Challenge Performance'!$O$283:$O$284</c:f>
              <c:strCache>
                <c:ptCount val="1"/>
                <c:pt idx="0">
                  <c:v>Sum of % Female Winners</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'Challenge Performance'!$M$285:$M$406</c:f>
              <c:strCache>
                <c:ptCount val="121"/>
                <c:pt idx="0">
                  <c:v>Ring Leader</c:v>
                </c:pt>
                <c:pt idx="1">
                  <c:v>Walk The Plank</c:v>
                </c:pt>
                <c:pt idx="2">
                  <c:v>Squatty Probst</c:v>
                </c:pt>
                <c:pt idx="3">
                  <c:v>Bone To Pick</c:v>
                </c:pt>
                <c:pt idx="4">
                  <c:v>Broken China</c:v>
                </c:pt>
                <c:pt idx="5">
                  <c:v>This Much</c:v>
                </c:pt>
                <c:pt idx="6">
                  <c:v>Fallen Comrades</c:v>
                </c:pt>
                <c:pt idx="7">
                  <c:v>Planks A Lot</c:v>
                </c:pt>
                <c:pt idx="8">
                  <c:v>You Shook Me</c:v>
                </c:pt>
                <c:pt idx="9">
                  <c:v>When It Rains, It Pours</c:v>
                </c:pt>
                <c:pt idx="10">
                  <c:v>Splash Back</c:v>
                </c:pt>
                <c:pt idx="11">
                  <c:v>Will It Go Round</c:v>
                </c:pt>
                <c:pt idx="12">
                  <c:v>Stacked Up</c:v>
                </c:pt>
                <c:pt idx="13">
                  <c:v>Shoot 'n' Shuffle</c:v>
                </c:pt>
                <c:pt idx="14">
                  <c:v>Gimme Three Steps</c:v>
                </c:pt>
                <c:pt idx="15">
                  <c:v>Kitty Litter</c:v>
                </c:pt>
                <c:pt idx="16">
                  <c:v>Fire Fighter</c:v>
                </c:pt>
                <c:pt idx="17">
                  <c:v>Cube Crisis</c:v>
                </c:pt>
                <c:pt idx="18">
                  <c:v>Survivor Quiz Show</c:v>
                </c:pt>
                <c:pt idx="19">
                  <c:v>Q And A</c:v>
                </c:pt>
                <c:pt idx="20">
                  <c:v>Ballin' A Jack</c:v>
                </c:pt>
                <c:pt idx="21">
                  <c:v>Will Power</c:v>
                </c:pt>
                <c:pt idx="22">
                  <c:v>Crocodile Rock</c:v>
                </c:pt>
                <c:pt idx="23">
                  <c:v>Sea Legs</c:v>
                </c:pt>
                <c:pt idx="24">
                  <c:v>Vampire Bats</c:v>
                </c:pt>
                <c:pt idx="25">
                  <c:v>Pot Head</c:v>
                </c:pt>
                <c:pt idx="26">
                  <c:v>Keep On Your Toes</c:v>
                </c:pt>
                <c:pt idx="27">
                  <c:v>House Of Cards</c:v>
                </c:pt>
                <c:pt idx="28">
                  <c:v>Get A Grip</c:v>
                </c:pt>
                <c:pt idx="29">
                  <c:v>Memory</c:v>
                </c:pt>
                <c:pt idx="30">
                  <c:v>A Leg Up</c:v>
                </c:pt>
                <c:pt idx="31">
                  <c:v>Shooting Gallery</c:v>
                </c:pt>
                <c:pt idx="32">
                  <c:v>On The Pull</c:v>
                </c:pt>
                <c:pt idx="33">
                  <c:v>Rusty Gates</c:v>
                </c:pt>
                <c:pt idx="34">
                  <c:v>Balancing Point</c:v>
                </c:pt>
                <c:pt idx="35">
                  <c:v>Dizzy Gillespie</c:v>
                </c:pt>
                <c:pt idx="36">
                  <c:v>Total Recall</c:v>
                </c:pt>
                <c:pt idx="37">
                  <c:v>Wrist Assured</c:v>
                </c:pt>
                <c:pt idx="38">
                  <c:v>Snake Island Relay</c:v>
                </c:pt>
                <c:pt idx="39">
                  <c:v>Hands On A Hard Idol</c:v>
                </c:pt>
                <c:pt idx="40">
                  <c:v>Do-It-Yourself Challenge</c:v>
                </c:pt>
                <c:pt idx="41">
                  <c:v>Bob-Bob Buoy</c:v>
                </c:pt>
                <c:pt idx="42">
                  <c:v>Mayan Pizza</c:v>
                </c:pt>
                <c:pt idx="43">
                  <c:v>Hold Your Own</c:v>
                </c:pt>
                <c:pt idx="44">
                  <c:v>Well Stacked</c:v>
                </c:pt>
                <c:pt idx="45">
                  <c:v>Domino Effect</c:v>
                </c:pt>
                <c:pt idx="46">
                  <c:v>Holy Hell</c:v>
                </c:pt>
                <c:pt idx="47">
                  <c:v>Eve 6</c:v>
                </c:pt>
                <c:pt idx="48">
                  <c:v>Might As Well Jump</c:v>
                </c:pt>
                <c:pt idx="49">
                  <c:v>Out On A Limb</c:v>
                </c:pt>
                <c:pt idx="50">
                  <c:v>Bow Diddley</c:v>
                </c:pt>
                <c:pt idx="51">
                  <c:v>Get Barreled</c:v>
                </c:pt>
                <c:pt idx="52">
                  <c:v>Simmotion</c:v>
                </c:pt>
                <c:pt idx="53">
                  <c:v>Buggin' Out</c:v>
                </c:pt>
                <c:pt idx="54">
                  <c:v>The Ball Drop</c:v>
                </c:pt>
                <c:pt idx="55">
                  <c:v>Operation Balance Build</c:v>
                </c:pt>
                <c:pt idx="56">
                  <c:v>Dizzy Miss Lizzy</c:v>
                </c:pt>
                <c:pt idx="57">
                  <c:v>The Game Is Afoot</c:v>
                </c:pt>
                <c:pt idx="58">
                  <c:v>Perch</c:v>
                </c:pt>
                <c:pt idx="59">
                  <c:v>Squared Off</c:v>
                </c:pt>
                <c:pt idx="60">
                  <c:v>Witch Hunt</c:v>
                </c:pt>
                <c:pt idx="61">
                  <c:v>Race To Shore</c:v>
                </c:pt>
                <c:pt idx="62">
                  <c:v>Over-Extended</c:v>
                </c:pt>
                <c:pt idx="63">
                  <c:v>Fast Fire</c:v>
                </c:pt>
                <c:pt idx="64">
                  <c:v>Nut Cracker</c:v>
                </c:pt>
                <c:pt idx="65">
                  <c:v>Hanging By A Thread</c:v>
                </c:pt>
                <c:pt idx="66">
                  <c:v>House Of The Holey</c:v>
                </c:pt>
                <c:pt idx="67">
                  <c:v>Can't Buoy Me Love</c:v>
                </c:pt>
                <c:pt idx="68">
                  <c:v>Vertigo</c:v>
                </c:pt>
                <c:pt idx="69">
                  <c:v>The Obstacle Course</c:v>
                </c:pt>
                <c:pt idx="70">
                  <c:v>Chimney Sweep</c:v>
                </c:pt>
                <c:pt idx="71">
                  <c:v>Mask Match</c:v>
                </c:pt>
                <c:pt idx="72">
                  <c:v>Pole Dancing</c:v>
                </c:pt>
                <c:pt idx="73">
                  <c:v>Uncomfortably Numb</c:v>
                </c:pt>
                <c:pt idx="74">
                  <c:v>Step On Up</c:v>
                </c:pt>
                <c:pt idx="75">
                  <c:v>Fire And Water</c:v>
                </c:pt>
                <c:pt idx="76">
                  <c:v>Box Your Mind</c:v>
                </c:pt>
                <c:pt idx="77">
                  <c:v>The Maze</c:v>
                </c:pt>
                <c:pt idx="78">
                  <c:v>The Home Stretch</c:v>
                </c:pt>
                <c:pt idx="79">
                  <c:v>Blue Plate Special</c:v>
                </c:pt>
                <c:pt idx="80">
                  <c:v>Push Me, Pull You</c:v>
                </c:pt>
                <c:pt idx="81">
                  <c:v>Roller Ball</c:v>
                </c:pt>
                <c:pt idx="82">
                  <c:v>Braille Maze</c:v>
                </c:pt>
                <c:pt idx="83">
                  <c:v>Chinese Zodiac Symbols</c:v>
                </c:pt>
                <c:pt idx="84">
                  <c:v>Swahili Scramble</c:v>
                </c:pt>
                <c:pt idx="85">
                  <c:v>Ram-Ball On</c:v>
                </c:pt>
                <c:pt idx="86">
                  <c:v>Around The Bend</c:v>
                </c:pt>
                <c:pt idx="87">
                  <c:v>Great Escape Run</c:v>
                </c:pt>
                <c:pt idx="88">
                  <c:v>A Bit Tipsy</c:v>
                </c:pt>
                <c:pt idx="89">
                  <c:v>Strung Out</c:v>
                </c:pt>
                <c:pt idx="90">
                  <c:v>Last Gasp</c:v>
                </c:pt>
                <c:pt idx="91">
                  <c:v>Mud Pack</c:v>
                </c:pt>
                <c:pt idx="92">
                  <c:v>Survivor Pentathlon</c:v>
                </c:pt>
                <c:pt idx="93">
                  <c:v>Paddle Out</c:v>
                </c:pt>
                <c:pt idx="94">
                  <c:v>Know Your Ropes</c:v>
                </c:pt>
                <c:pt idx="95">
                  <c:v>Troubled Water</c:v>
                </c:pt>
                <c:pt idx="96">
                  <c:v>Station By Station</c:v>
                </c:pt>
                <c:pt idx="97">
                  <c:v>Stomp-ede</c:v>
                </c:pt>
                <c:pt idx="98">
                  <c:v>Know Your Loved One</c:v>
                </c:pt>
                <c:pt idx="99">
                  <c:v>Cannonball Run</c:v>
                </c:pt>
                <c:pt idx="100">
                  <c:v>Coconut Juice</c:v>
                </c:pt>
                <c:pt idx="101">
                  <c:v>Wall To Wall</c:v>
                </c:pt>
                <c:pt idx="102">
                  <c:v>Spoon Man</c:v>
                </c:pt>
                <c:pt idx="103">
                  <c:v>Log Jam</c:v>
                </c:pt>
                <c:pt idx="104">
                  <c:v>Choose Your Weapon</c:v>
                </c:pt>
                <c:pt idx="105">
                  <c:v>Puzzle Dig</c:v>
                </c:pt>
                <c:pt idx="106">
                  <c:v>Drop A Log</c:v>
                </c:pt>
                <c:pt idx="107">
                  <c:v>Jail Break</c:v>
                </c:pt>
                <c:pt idx="108">
                  <c:v>Vertically Challenged</c:v>
                </c:pt>
                <c:pt idx="109">
                  <c:v>Mind Field</c:v>
                </c:pt>
                <c:pt idx="110">
                  <c:v>End Of The Line</c:v>
                </c:pt>
                <c:pt idx="111">
                  <c:v>Mud Bungee</c:v>
                </c:pt>
                <c:pt idx="112">
                  <c:v>Snag, Drag, And Bag</c:v>
                </c:pt>
                <c:pt idx="113">
                  <c:v>Keel Hauling</c:v>
                </c:pt>
                <c:pt idx="114">
                  <c:v>Letter Hunt</c:v>
                </c:pt>
                <c:pt idx="115">
                  <c:v>Rock Bottom</c:v>
                </c:pt>
                <c:pt idx="116">
                  <c:v>Pinball Wizard</c:v>
                </c:pt>
                <c:pt idx="117">
                  <c:v>5x5</c:v>
                </c:pt>
                <c:pt idx="118">
                  <c:v>Cling Ons</c:v>
                </c:pt>
                <c:pt idx="119">
                  <c:v>Running Down A Dream</c:v>
                </c:pt>
                <c:pt idx="120">
                  <c:v>Mud Slinging</c:v>
                </c:pt>
              </c:strCache>
            </c:strRef>
          </c:cat>
          <c:val>
            <c:numRef>
              <c:f>'Challenge Performance'!$O$285:$O$406</c:f>
              <c:numCache>
                <c:formatCode>0%</c:formatCode>
                <c:ptCount val="121"/>
                <c:pt idx="0">
                  <c:v>1</c:v>
                </c:pt>
                <c:pt idx="1">
                  <c:v>1</c:v>
                </c:pt>
                <c:pt idx="2">
                  <c:v>1</c:v>
                </c:pt>
                <c:pt idx="3">
                  <c:v>1</c:v>
                </c:pt>
                <c:pt idx="4">
                  <c:v>1</c:v>
                </c:pt>
                <c:pt idx="5">
                  <c:v>0.8</c:v>
                </c:pt>
                <c:pt idx="6">
                  <c:v>0.8</c:v>
                </c:pt>
                <c:pt idx="7">
                  <c:v>0.75</c:v>
                </c:pt>
                <c:pt idx="8">
                  <c:v>0.75</c:v>
                </c:pt>
                <c:pt idx="9">
                  <c:v>0.72727272727272729</c:v>
                </c:pt>
                <c:pt idx="10">
                  <c:v>0.72727272727272729</c:v>
                </c:pt>
                <c:pt idx="11">
                  <c:v>0.7142857142857143</c:v>
                </c:pt>
                <c:pt idx="12">
                  <c:v>0.66666666666666663</c:v>
                </c:pt>
                <c:pt idx="13">
                  <c:v>0.66666666666666663</c:v>
                </c:pt>
                <c:pt idx="14">
                  <c:v>0.66666666666666663</c:v>
                </c:pt>
                <c:pt idx="15">
                  <c:v>0.66666666666666663</c:v>
                </c:pt>
                <c:pt idx="16">
                  <c:v>0.66666666666666663</c:v>
                </c:pt>
                <c:pt idx="17">
                  <c:v>0.66666666666666663</c:v>
                </c:pt>
                <c:pt idx="18">
                  <c:v>0.66666666666666663</c:v>
                </c:pt>
                <c:pt idx="19">
                  <c:v>0.66666666666666663</c:v>
                </c:pt>
                <c:pt idx="20">
                  <c:v>0.66666666666666663</c:v>
                </c:pt>
                <c:pt idx="21">
                  <c:v>0.66666666666666663</c:v>
                </c:pt>
                <c:pt idx="22">
                  <c:v>0.625</c:v>
                </c:pt>
                <c:pt idx="23">
                  <c:v>0.6</c:v>
                </c:pt>
                <c:pt idx="24">
                  <c:v>0.6</c:v>
                </c:pt>
                <c:pt idx="25">
                  <c:v>0.6</c:v>
                </c:pt>
                <c:pt idx="26">
                  <c:v>0.5714285714285714</c:v>
                </c:pt>
                <c:pt idx="27">
                  <c:v>0.54545454545454541</c:v>
                </c:pt>
                <c:pt idx="28">
                  <c:v>0.53846153846153844</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0.46153846153846156</c:v>
                </c:pt>
                <c:pt idx="50">
                  <c:v>0.44444444444444442</c:v>
                </c:pt>
                <c:pt idx="51">
                  <c:v>0.44444444444444442</c:v>
                </c:pt>
                <c:pt idx="52">
                  <c:v>0.44444444444444442</c:v>
                </c:pt>
                <c:pt idx="53">
                  <c:v>0.42857142857142855</c:v>
                </c:pt>
                <c:pt idx="54">
                  <c:v>0.42857142857142855</c:v>
                </c:pt>
                <c:pt idx="55">
                  <c:v>0.4</c:v>
                </c:pt>
                <c:pt idx="56">
                  <c:v>0.4</c:v>
                </c:pt>
                <c:pt idx="57">
                  <c:v>0.4</c:v>
                </c:pt>
                <c:pt idx="58">
                  <c:v>0.4</c:v>
                </c:pt>
                <c:pt idx="59">
                  <c:v>0.4</c:v>
                </c:pt>
                <c:pt idx="60">
                  <c:v>0.375</c:v>
                </c:pt>
                <c:pt idx="61">
                  <c:v>0.375</c:v>
                </c:pt>
                <c:pt idx="62">
                  <c:v>0.375</c:v>
                </c:pt>
                <c:pt idx="63">
                  <c:v>0.375</c:v>
                </c:pt>
                <c:pt idx="64">
                  <c:v>0.33333333333333331</c:v>
                </c:pt>
                <c:pt idx="65">
                  <c:v>0.33333333333333331</c:v>
                </c:pt>
                <c:pt idx="66">
                  <c:v>0.33333333333333331</c:v>
                </c:pt>
                <c:pt idx="67">
                  <c:v>0.33333333333333331</c:v>
                </c:pt>
                <c:pt idx="68">
                  <c:v>0.33333333333333331</c:v>
                </c:pt>
                <c:pt idx="69">
                  <c:v>0.33333333333333331</c:v>
                </c:pt>
                <c:pt idx="70">
                  <c:v>0.33333333333333331</c:v>
                </c:pt>
                <c:pt idx="71">
                  <c:v>0.33333333333333331</c:v>
                </c:pt>
                <c:pt idx="72">
                  <c:v>0.2857142857142857</c:v>
                </c:pt>
                <c:pt idx="73">
                  <c:v>0.2857142857142857</c:v>
                </c:pt>
                <c:pt idx="74">
                  <c:v>0.2857142857142857</c:v>
                </c:pt>
                <c:pt idx="75">
                  <c:v>0.2857142857142857</c:v>
                </c:pt>
                <c:pt idx="76">
                  <c:v>0.2857142857142857</c:v>
                </c:pt>
                <c:pt idx="77">
                  <c:v>0.27272727272727271</c:v>
                </c:pt>
                <c:pt idx="78">
                  <c:v>0.25</c:v>
                </c:pt>
                <c:pt idx="79">
                  <c:v>0.25</c:v>
                </c:pt>
                <c:pt idx="80">
                  <c:v>0.25</c:v>
                </c:pt>
                <c:pt idx="81">
                  <c:v>0.25</c:v>
                </c:pt>
                <c:pt idx="82">
                  <c:v>0.25</c:v>
                </c:pt>
                <c:pt idx="83">
                  <c:v>0.25</c:v>
                </c:pt>
                <c:pt idx="84">
                  <c:v>0.25</c:v>
                </c:pt>
                <c:pt idx="85">
                  <c:v>0.25</c:v>
                </c:pt>
                <c:pt idx="86">
                  <c:v>0.21428571428571427</c:v>
                </c:pt>
                <c:pt idx="87">
                  <c:v>0.2</c:v>
                </c:pt>
                <c:pt idx="88">
                  <c:v>0.2</c:v>
                </c:pt>
                <c:pt idx="89">
                  <c:v>0.2</c:v>
                </c:pt>
                <c:pt idx="90">
                  <c:v>0.2</c:v>
                </c:pt>
                <c:pt idx="91">
                  <c:v>0.2</c:v>
                </c:pt>
                <c:pt idx="92">
                  <c:v>0.17647058823529413</c:v>
                </c:pt>
                <c:pt idx="93">
                  <c:v>0.1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val>
          <c:smooth val="0"/>
          <c:extLst>
            <c:ext xmlns:c16="http://schemas.microsoft.com/office/drawing/2014/chart" uri="{C3380CC4-5D6E-409C-BE32-E72D297353CC}">
              <c16:uniqueId val="{00000001-F26A-4047-8D72-8FA56A03CEB2}"/>
            </c:ext>
          </c:extLst>
        </c:ser>
        <c:dLbls>
          <c:dLblPos val="ctr"/>
          <c:showLegendKey val="0"/>
          <c:showVal val="1"/>
          <c:showCatName val="0"/>
          <c:showSerName val="0"/>
          <c:showPercent val="0"/>
          <c:showBubbleSize val="0"/>
        </c:dLbls>
        <c:marker val="1"/>
        <c:smooth val="0"/>
        <c:axId val="117301647"/>
        <c:axId val="117282927"/>
      </c:lineChart>
      <c:catAx>
        <c:axId val="117301647"/>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b"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7282927"/>
        <c:crosses val="autoZero"/>
        <c:auto val="1"/>
        <c:lblAlgn val="ctr"/>
        <c:lblOffset val="200"/>
        <c:noMultiLvlLbl val="0"/>
      </c:catAx>
      <c:valAx>
        <c:axId val="117282927"/>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730164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v>Sum of Male Win %</c:v>
          </c:tx>
          <c:spPr>
            <a:solidFill>
              <a:schemeClr val="accent1">
                <a:alpha val="85000"/>
              </a:schemeClr>
            </a:solidFill>
            <a:ln w="9525" cap="flat" cmpd="sng" algn="ctr">
              <a:solidFill>
                <a:schemeClr val="lt1">
                  <a:alpha val="50000"/>
                </a:schemeClr>
              </a:solidFill>
              <a:round/>
            </a:ln>
            <a:effectLst/>
          </c:spPr>
          <c:invertIfNegative val="0"/>
          <c:cat>
            <c:strLit>
              <c:ptCount val="69"/>
              <c:pt idx="0">
                <c:v>Paddle Out</c:v>
              </c:pt>
              <c:pt idx="1">
                <c:v>Survivor Pentathlon</c:v>
              </c:pt>
              <c:pt idx="2">
                <c:v>Mud Pack</c:v>
              </c:pt>
              <c:pt idx="3">
                <c:v>Strung Out</c:v>
              </c:pt>
              <c:pt idx="4">
                <c:v>Great Escape Run</c:v>
              </c:pt>
              <c:pt idx="5">
                <c:v>Last Gasp</c:v>
              </c:pt>
              <c:pt idx="6">
                <c:v>A Bit Tipsy</c:v>
              </c:pt>
              <c:pt idx="7">
                <c:v>Around The Bend</c:v>
              </c:pt>
              <c:pt idx="8">
                <c:v>Chinese Zodiac Symbols</c:v>
              </c:pt>
              <c:pt idx="9">
                <c:v>Braille Maze</c:v>
              </c:pt>
              <c:pt idx="10">
                <c:v>Roller Ball</c:v>
              </c:pt>
              <c:pt idx="11">
                <c:v>Blue Plate Special</c:v>
              </c:pt>
              <c:pt idx="12">
                <c:v>Swahili Scramble</c:v>
              </c:pt>
              <c:pt idx="13">
                <c:v>The Home Stretch</c:v>
              </c:pt>
              <c:pt idx="14">
                <c:v>Push Me, Pull You</c:v>
              </c:pt>
              <c:pt idx="15">
                <c:v>Ram-Ball On</c:v>
              </c:pt>
              <c:pt idx="16">
                <c:v>The Maze</c:v>
              </c:pt>
              <c:pt idx="17">
                <c:v>Box Your Mind</c:v>
              </c:pt>
              <c:pt idx="18">
                <c:v>Step On Up</c:v>
              </c:pt>
              <c:pt idx="19">
                <c:v>Uncomfortably Numb</c:v>
              </c:pt>
              <c:pt idx="20">
                <c:v>Fire And Water</c:v>
              </c:pt>
              <c:pt idx="21">
                <c:v>Pole Dancing</c:v>
              </c:pt>
              <c:pt idx="22">
                <c:v>Chimney Sweep</c:v>
              </c:pt>
              <c:pt idx="23">
                <c:v>The Obstacle Course</c:v>
              </c:pt>
              <c:pt idx="24">
                <c:v>Nut Cracker</c:v>
              </c:pt>
              <c:pt idx="25">
                <c:v>House Of The Holey</c:v>
              </c:pt>
              <c:pt idx="26">
                <c:v>Hanging By A Thread</c:v>
              </c:pt>
              <c:pt idx="27">
                <c:v>Can't Buoy Me Love</c:v>
              </c:pt>
              <c:pt idx="28">
                <c:v>Mask Match</c:v>
              </c:pt>
              <c:pt idx="29">
                <c:v>Vertigo</c:v>
              </c:pt>
              <c:pt idx="30">
                <c:v>Fast Fire</c:v>
              </c:pt>
              <c:pt idx="31">
                <c:v>Race To Shore</c:v>
              </c:pt>
              <c:pt idx="32">
                <c:v>Witch Hunt</c:v>
              </c:pt>
              <c:pt idx="33">
                <c:v>Over-Extended</c:v>
              </c:pt>
              <c:pt idx="34">
                <c:v>Operation Balance Build</c:v>
              </c:pt>
              <c:pt idx="35">
                <c:v>The Game Is Afoot</c:v>
              </c:pt>
              <c:pt idx="36">
                <c:v>Squared Off</c:v>
              </c:pt>
              <c:pt idx="37">
                <c:v>Perch</c:v>
              </c:pt>
              <c:pt idx="38">
                <c:v>Dizzy Miss Lizzy</c:v>
              </c:pt>
              <c:pt idx="39">
                <c:v>Buggin' Out</c:v>
              </c:pt>
              <c:pt idx="40">
                <c:v>The Ball Drop</c:v>
              </c:pt>
              <c:pt idx="41">
                <c:v>Get Barreled</c:v>
              </c:pt>
              <c:pt idx="42">
                <c:v>Simmotion</c:v>
              </c:pt>
              <c:pt idx="43">
                <c:v>Bow Diddley</c:v>
              </c:pt>
              <c:pt idx="44">
                <c:v>Out On A Limb</c:v>
              </c:pt>
              <c:pt idx="45">
                <c:v>Get A Grip</c:v>
              </c:pt>
              <c:pt idx="46">
                <c:v>House Of Cards</c:v>
              </c:pt>
              <c:pt idx="47">
                <c:v>Keep On Your Toes</c:v>
              </c:pt>
              <c:pt idx="48">
                <c:v>Sea Legs</c:v>
              </c:pt>
              <c:pt idx="49">
                <c:v>Pot Head</c:v>
              </c:pt>
              <c:pt idx="50">
                <c:v>Vampire Bats</c:v>
              </c:pt>
              <c:pt idx="51">
                <c:v>Crocodile Rock</c:v>
              </c:pt>
              <c:pt idx="52">
                <c:v>Gimme Three Steps</c:v>
              </c:pt>
              <c:pt idx="53">
                <c:v>Ballin' A Jack</c:v>
              </c:pt>
              <c:pt idx="54">
                <c:v>Kitty Litter</c:v>
              </c:pt>
              <c:pt idx="55">
                <c:v>Will Power</c:v>
              </c:pt>
              <c:pt idx="56">
                <c:v>Cube Crisis</c:v>
              </c:pt>
              <c:pt idx="57">
                <c:v>Survivor Quiz Show</c:v>
              </c:pt>
              <c:pt idx="58">
                <c:v>Stacked Up</c:v>
              </c:pt>
              <c:pt idx="59">
                <c:v>Q And A</c:v>
              </c:pt>
              <c:pt idx="60">
                <c:v>Fire Fighter</c:v>
              </c:pt>
              <c:pt idx="61">
                <c:v>Shoot 'n' Shuffle</c:v>
              </c:pt>
              <c:pt idx="62">
                <c:v>Will It Go Round</c:v>
              </c:pt>
              <c:pt idx="63">
                <c:v>Splash Back</c:v>
              </c:pt>
              <c:pt idx="64">
                <c:v>When It Rains, It Pours</c:v>
              </c:pt>
              <c:pt idx="65">
                <c:v>You Shook Me</c:v>
              </c:pt>
              <c:pt idx="66">
                <c:v>Planks A Lot</c:v>
              </c:pt>
              <c:pt idx="67">
                <c:v>This Much</c:v>
              </c:pt>
              <c:pt idx="68">
                <c:v>Fallen Comrades</c:v>
              </c:pt>
            </c:strLit>
          </c:cat>
          <c:val>
            <c:numLit>
              <c:formatCode>General</c:formatCode>
              <c:ptCount val="69"/>
              <c:pt idx="0">
                <c:v>0.9</c:v>
              </c:pt>
              <c:pt idx="1">
                <c:v>0.82352941176470584</c:v>
              </c:pt>
              <c:pt idx="2">
                <c:v>0.8</c:v>
              </c:pt>
              <c:pt idx="3">
                <c:v>0.8</c:v>
              </c:pt>
              <c:pt idx="4">
                <c:v>0.8</c:v>
              </c:pt>
              <c:pt idx="5">
                <c:v>0.8</c:v>
              </c:pt>
              <c:pt idx="6">
                <c:v>0.8</c:v>
              </c:pt>
              <c:pt idx="7">
                <c:v>0.7857142857142857</c:v>
              </c:pt>
              <c:pt idx="8">
                <c:v>0.75</c:v>
              </c:pt>
              <c:pt idx="9">
                <c:v>0.75</c:v>
              </c:pt>
              <c:pt idx="10">
                <c:v>0.75</c:v>
              </c:pt>
              <c:pt idx="11">
                <c:v>0.75</c:v>
              </c:pt>
              <c:pt idx="12">
                <c:v>0.75</c:v>
              </c:pt>
              <c:pt idx="13">
                <c:v>0.75</c:v>
              </c:pt>
              <c:pt idx="14">
                <c:v>0.75</c:v>
              </c:pt>
              <c:pt idx="15">
                <c:v>0.75</c:v>
              </c:pt>
              <c:pt idx="16">
                <c:v>0.72727272727272729</c:v>
              </c:pt>
              <c:pt idx="17">
                <c:v>0.7142857142857143</c:v>
              </c:pt>
              <c:pt idx="18">
                <c:v>0.7142857142857143</c:v>
              </c:pt>
              <c:pt idx="19">
                <c:v>0.7142857142857143</c:v>
              </c:pt>
              <c:pt idx="20">
                <c:v>0.7142857142857143</c:v>
              </c:pt>
              <c:pt idx="21">
                <c:v>0.7142857142857143</c:v>
              </c:pt>
              <c:pt idx="22">
                <c:v>0.66666666666666663</c:v>
              </c:pt>
              <c:pt idx="23">
                <c:v>0.66666666666666663</c:v>
              </c:pt>
              <c:pt idx="24">
                <c:v>0.66666666666666663</c:v>
              </c:pt>
              <c:pt idx="25">
                <c:v>0.66666666666666663</c:v>
              </c:pt>
              <c:pt idx="26">
                <c:v>0.66666666666666663</c:v>
              </c:pt>
              <c:pt idx="27">
                <c:v>0.66666666666666663</c:v>
              </c:pt>
              <c:pt idx="28">
                <c:v>0.66666666666666663</c:v>
              </c:pt>
              <c:pt idx="29">
                <c:v>0.66666666666666663</c:v>
              </c:pt>
              <c:pt idx="30">
                <c:v>0.625</c:v>
              </c:pt>
              <c:pt idx="31">
                <c:v>0.625</c:v>
              </c:pt>
              <c:pt idx="32">
                <c:v>0.625</c:v>
              </c:pt>
              <c:pt idx="33">
                <c:v>0.625</c:v>
              </c:pt>
              <c:pt idx="34">
                <c:v>0.6</c:v>
              </c:pt>
              <c:pt idx="35">
                <c:v>0.6</c:v>
              </c:pt>
              <c:pt idx="36">
                <c:v>0.6</c:v>
              </c:pt>
              <c:pt idx="37">
                <c:v>0.6</c:v>
              </c:pt>
              <c:pt idx="38">
                <c:v>0.6</c:v>
              </c:pt>
              <c:pt idx="39">
                <c:v>0.5714285714285714</c:v>
              </c:pt>
              <c:pt idx="40">
                <c:v>0.5714285714285714</c:v>
              </c:pt>
              <c:pt idx="41">
                <c:v>0.55555555555555558</c:v>
              </c:pt>
              <c:pt idx="42">
                <c:v>0.55555555555555558</c:v>
              </c:pt>
              <c:pt idx="43">
                <c:v>0.55555555555555558</c:v>
              </c:pt>
              <c:pt idx="44">
                <c:v>0.53846153846153844</c:v>
              </c:pt>
              <c:pt idx="45">
                <c:v>0.46153846153846156</c:v>
              </c:pt>
              <c:pt idx="46">
                <c:v>0.45454545454545453</c:v>
              </c:pt>
              <c:pt idx="47">
                <c:v>0.42857142857142855</c:v>
              </c:pt>
              <c:pt idx="48">
                <c:v>0.4</c:v>
              </c:pt>
              <c:pt idx="49">
                <c:v>0.4</c:v>
              </c:pt>
              <c:pt idx="50">
                <c:v>0.4</c:v>
              </c:pt>
              <c:pt idx="51">
                <c:v>0.375</c:v>
              </c:pt>
              <c:pt idx="52">
                <c:v>0.33333333333333331</c:v>
              </c:pt>
              <c:pt idx="53">
                <c:v>0.33333333333333331</c:v>
              </c:pt>
              <c:pt idx="54">
                <c:v>0.33333333333333331</c:v>
              </c:pt>
              <c:pt idx="55">
                <c:v>0.33333333333333331</c:v>
              </c:pt>
              <c:pt idx="56">
                <c:v>0.33333333333333331</c:v>
              </c:pt>
              <c:pt idx="57">
                <c:v>0.33333333333333331</c:v>
              </c:pt>
              <c:pt idx="58">
                <c:v>0.33333333333333331</c:v>
              </c:pt>
              <c:pt idx="59">
                <c:v>0.33333333333333331</c:v>
              </c:pt>
              <c:pt idx="60">
                <c:v>0.33333333333333331</c:v>
              </c:pt>
              <c:pt idx="61">
                <c:v>0.33333333333333331</c:v>
              </c:pt>
              <c:pt idx="62">
                <c:v>0.2857142857142857</c:v>
              </c:pt>
              <c:pt idx="63">
                <c:v>0.27272727272727271</c:v>
              </c:pt>
              <c:pt idx="64">
                <c:v>0.27272727272727271</c:v>
              </c:pt>
              <c:pt idx="65">
                <c:v>0.25</c:v>
              </c:pt>
              <c:pt idx="66">
                <c:v>0.25</c:v>
              </c:pt>
              <c:pt idx="67">
                <c:v>0.2</c:v>
              </c:pt>
              <c:pt idx="68">
                <c:v>0.2</c:v>
              </c:pt>
            </c:numLit>
          </c:val>
          <c:extLst>
            <c:ext xmlns:c16="http://schemas.microsoft.com/office/drawing/2014/chart" uri="{C3380CC4-5D6E-409C-BE32-E72D297353CC}">
              <c16:uniqueId val="{00000000-9B71-4318-A4A7-E470AFDB4023}"/>
            </c:ext>
          </c:extLst>
        </c:ser>
        <c:ser>
          <c:idx val="1"/>
          <c:order val="1"/>
          <c:tx>
            <c:v>Sum of Female Win %</c:v>
          </c:tx>
          <c:spPr>
            <a:solidFill>
              <a:schemeClr val="accent2">
                <a:alpha val="85000"/>
              </a:schemeClr>
            </a:solidFill>
            <a:ln w="9525" cap="flat" cmpd="sng" algn="ctr">
              <a:solidFill>
                <a:schemeClr val="lt1">
                  <a:alpha val="50000"/>
                </a:schemeClr>
              </a:solidFill>
              <a:round/>
            </a:ln>
            <a:effectLst/>
          </c:spPr>
          <c:invertIfNegative val="0"/>
          <c:cat>
            <c:strLit>
              <c:ptCount val="69"/>
              <c:pt idx="0">
                <c:v>Paddle Out</c:v>
              </c:pt>
              <c:pt idx="1">
                <c:v>Survivor Pentathlon</c:v>
              </c:pt>
              <c:pt idx="2">
                <c:v>Mud Pack</c:v>
              </c:pt>
              <c:pt idx="3">
                <c:v>Strung Out</c:v>
              </c:pt>
              <c:pt idx="4">
                <c:v>Great Escape Run</c:v>
              </c:pt>
              <c:pt idx="5">
                <c:v>Last Gasp</c:v>
              </c:pt>
              <c:pt idx="6">
                <c:v>A Bit Tipsy</c:v>
              </c:pt>
              <c:pt idx="7">
                <c:v>Around The Bend</c:v>
              </c:pt>
              <c:pt idx="8">
                <c:v>Chinese Zodiac Symbols</c:v>
              </c:pt>
              <c:pt idx="9">
                <c:v>Braille Maze</c:v>
              </c:pt>
              <c:pt idx="10">
                <c:v>Roller Ball</c:v>
              </c:pt>
              <c:pt idx="11">
                <c:v>Blue Plate Special</c:v>
              </c:pt>
              <c:pt idx="12">
                <c:v>Swahili Scramble</c:v>
              </c:pt>
              <c:pt idx="13">
                <c:v>The Home Stretch</c:v>
              </c:pt>
              <c:pt idx="14">
                <c:v>Push Me, Pull You</c:v>
              </c:pt>
              <c:pt idx="15">
                <c:v>Ram-Ball On</c:v>
              </c:pt>
              <c:pt idx="16">
                <c:v>The Maze</c:v>
              </c:pt>
              <c:pt idx="17">
                <c:v>Box Your Mind</c:v>
              </c:pt>
              <c:pt idx="18">
                <c:v>Step On Up</c:v>
              </c:pt>
              <c:pt idx="19">
                <c:v>Uncomfortably Numb</c:v>
              </c:pt>
              <c:pt idx="20">
                <c:v>Fire And Water</c:v>
              </c:pt>
              <c:pt idx="21">
                <c:v>Pole Dancing</c:v>
              </c:pt>
              <c:pt idx="22">
                <c:v>Chimney Sweep</c:v>
              </c:pt>
              <c:pt idx="23">
                <c:v>The Obstacle Course</c:v>
              </c:pt>
              <c:pt idx="24">
                <c:v>Nut Cracker</c:v>
              </c:pt>
              <c:pt idx="25">
                <c:v>House Of The Holey</c:v>
              </c:pt>
              <c:pt idx="26">
                <c:v>Hanging By A Thread</c:v>
              </c:pt>
              <c:pt idx="27">
                <c:v>Can't Buoy Me Love</c:v>
              </c:pt>
              <c:pt idx="28">
                <c:v>Mask Match</c:v>
              </c:pt>
              <c:pt idx="29">
                <c:v>Vertigo</c:v>
              </c:pt>
              <c:pt idx="30">
                <c:v>Fast Fire</c:v>
              </c:pt>
              <c:pt idx="31">
                <c:v>Race To Shore</c:v>
              </c:pt>
              <c:pt idx="32">
                <c:v>Witch Hunt</c:v>
              </c:pt>
              <c:pt idx="33">
                <c:v>Over-Extended</c:v>
              </c:pt>
              <c:pt idx="34">
                <c:v>Operation Balance Build</c:v>
              </c:pt>
              <c:pt idx="35">
                <c:v>The Game Is Afoot</c:v>
              </c:pt>
              <c:pt idx="36">
                <c:v>Squared Off</c:v>
              </c:pt>
              <c:pt idx="37">
                <c:v>Perch</c:v>
              </c:pt>
              <c:pt idx="38">
                <c:v>Dizzy Miss Lizzy</c:v>
              </c:pt>
              <c:pt idx="39">
                <c:v>Buggin' Out</c:v>
              </c:pt>
              <c:pt idx="40">
                <c:v>The Ball Drop</c:v>
              </c:pt>
              <c:pt idx="41">
                <c:v>Get Barreled</c:v>
              </c:pt>
              <c:pt idx="42">
                <c:v>Simmotion</c:v>
              </c:pt>
              <c:pt idx="43">
                <c:v>Bow Diddley</c:v>
              </c:pt>
              <c:pt idx="44">
                <c:v>Out On A Limb</c:v>
              </c:pt>
              <c:pt idx="45">
                <c:v>Get A Grip</c:v>
              </c:pt>
              <c:pt idx="46">
                <c:v>House Of Cards</c:v>
              </c:pt>
              <c:pt idx="47">
                <c:v>Keep On Your Toes</c:v>
              </c:pt>
              <c:pt idx="48">
                <c:v>Sea Legs</c:v>
              </c:pt>
              <c:pt idx="49">
                <c:v>Pot Head</c:v>
              </c:pt>
              <c:pt idx="50">
                <c:v>Vampire Bats</c:v>
              </c:pt>
              <c:pt idx="51">
                <c:v>Crocodile Rock</c:v>
              </c:pt>
              <c:pt idx="52">
                <c:v>Gimme Three Steps</c:v>
              </c:pt>
              <c:pt idx="53">
                <c:v>Ballin' A Jack</c:v>
              </c:pt>
              <c:pt idx="54">
                <c:v>Kitty Litter</c:v>
              </c:pt>
              <c:pt idx="55">
                <c:v>Will Power</c:v>
              </c:pt>
              <c:pt idx="56">
                <c:v>Cube Crisis</c:v>
              </c:pt>
              <c:pt idx="57">
                <c:v>Survivor Quiz Show</c:v>
              </c:pt>
              <c:pt idx="58">
                <c:v>Stacked Up</c:v>
              </c:pt>
              <c:pt idx="59">
                <c:v>Q And A</c:v>
              </c:pt>
              <c:pt idx="60">
                <c:v>Fire Fighter</c:v>
              </c:pt>
              <c:pt idx="61">
                <c:v>Shoot 'n' Shuffle</c:v>
              </c:pt>
              <c:pt idx="62">
                <c:v>Will It Go Round</c:v>
              </c:pt>
              <c:pt idx="63">
                <c:v>Splash Back</c:v>
              </c:pt>
              <c:pt idx="64">
                <c:v>When It Rains, It Pours</c:v>
              </c:pt>
              <c:pt idx="65">
                <c:v>You Shook Me</c:v>
              </c:pt>
              <c:pt idx="66">
                <c:v>Planks A Lot</c:v>
              </c:pt>
              <c:pt idx="67">
                <c:v>This Much</c:v>
              </c:pt>
              <c:pt idx="68">
                <c:v>Fallen Comrades</c:v>
              </c:pt>
            </c:strLit>
          </c:cat>
          <c:val>
            <c:numLit>
              <c:formatCode>General</c:formatCode>
              <c:ptCount val="69"/>
              <c:pt idx="0">
                <c:v>0.1</c:v>
              </c:pt>
              <c:pt idx="1">
                <c:v>0.17647058823529413</c:v>
              </c:pt>
              <c:pt idx="2">
                <c:v>0.2</c:v>
              </c:pt>
              <c:pt idx="3">
                <c:v>0.2</c:v>
              </c:pt>
              <c:pt idx="4">
                <c:v>0.2</c:v>
              </c:pt>
              <c:pt idx="5">
                <c:v>0.2</c:v>
              </c:pt>
              <c:pt idx="6">
                <c:v>0.2</c:v>
              </c:pt>
              <c:pt idx="7">
                <c:v>0.21428571428571427</c:v>
              </c:pt>
              <c:pt idx="8">
                <c:v>0.25</c:v>
              </c:pt>
              <c:pt idx="9">
                <c:v>0.25</c:v>
              </c:pt>
              <c:pt idx="10">
                <c:v>0.25</c:v>
              </c:pt>
              <c:pt idx="11">
                <c:v>0.25</c:v>
              </c:pt>
              <c:pt idx="12">
                <c:v>0.25</c:v>
              </c:pt>
              <c:pt idx="13">
                <c:v>0.25</c:v>
              </c:pt>
              <c:pt idx="14">
                <c:v>0.25</c:v>
              </c:pt>
              <c:pt idx="15">
                <c:v>0.25</c:v>
              </c:pt>
              <c:pt idx="16">
                <c:v>0.27272727272727271</c:v>
              </c:pt>
              <c:pt idx="17">
                <c:v>0.2857142857142857</c:v>
              </c:pt>
              <c:pt idx="18">
                <c:v>0.2857142857142857</c:v>
              </c:pt>
              <c:pt idx="19">
                <c:v>0.2857142857142857</c:v>
              </c:pt>
              <c:pt idx="20">
                <c:v>0.2857142857142857</c:v>
              </c:pt>
              <c:pt idx="21">
                <c:v>0.2857142857142857</c:v>
              </c:pt>
              <c:pt idx="22">
                <c:v>0.33333333333333331</c:v>
              </c:pt>
              <c:pt idx="23">
                <c:v>0.33333333333333331</c:v>
              </c:pt>
              <c:pt idx="24">
                <c:v>0.33333333333333331</c:v>
              </c:pt>
              <c:pt idx="25">
                <c:v>0.33333333333333331</c:v>
              </c:pt>
              <c:pt idx="26">
                <c:v>0.33333333333333331</c:v>
              </c:pt>
              <c:pt idx="27">
                <c:v>0.33333333333333331</c:v>
              </c:pt>
              <c:pt idx="28">
                <c:v>0.33333333333333331</c:v>
              </c:pt>
              <c:pt idx="29">
                <c:v>0.33333333333333331</c:v>
              </c:pt>
              <c:pt idx="30">
                <c:v>0.375</c:v>
              </c:pt>
              <c:pt idx="31">
                <c:v>0.375</c:v>
              </c:pt>
              <c:pt idx="32">
                <c:v>0.375</c:v>
              </c:pt>
              <c:pt idx="33">
                <c:v>0.375</c:v>
              </c:pt>
              <c:pt idx="34">
                <c:v>0.4</c:v>
              </c:pt>
              <c:pt idx="35">
                <c:v>0.4</c:v>
              </c:pt>
              <c:pt idx="36">
                <c:v>0.4</c:v>
              </c:pt>
              <c:pt idx="37">
                <c:v>0.4</c:v>
              </c:pt>
              <c:pt idx="38">
                <c:v>0.4</c:v>
              </c:pt>
              <c:pt idx="39">
                <c:v>0.42857142857142855</c:v>
              </c:pt>
              <c:pt idx="40">
                <c:v>0.42857142857142855</c:v>
              </c:pt>
              <c:pt idx="41">
                <c:v>0.44444444444444442</c:v>
              </c:pt>
              <c:pt idx="42">
                <c:v>0.44444444444444442</c:v>
              </c:pt>
              <c:pt idx="43">
                <c:v>0.44444444444444442</c:v>
              </c:pt>
              <c:pt idx="44">
                <c:v>0.46153846153846156</c:v>
              </c:pt>
              <c:pt idx="45">
                <c:v>0.53846153846153844</c:v>
              </c:pt>
              <c:pt idx="46">
                <c:v>0.54545454545454541</c:v>
              </c:pt>
              <c:pt idx="47">
                <c:v>0.5714285714285714</c:v>
              </c:pt>
              <c:pt idx="48">
                <c:v>0.6</c:v>
              </c:pt>
              <c:pt idx="49">
                <c:v>0.6</c:v>
              </c:pt>
              <c:pt idx="50">
                <c:v>0.6</c:v>
              </c:pt>
              <c:pt idx="51">
                <c:v>0.625</c:v>
              </c:pt>
              <c:pt idx="52">
                <c:v>0.66666666666666663</c:v>
              </c:pt>
              <c:pt idx="53">
                <c:v>0.66666666666666663</c:v>
              </c:pt>
              <c:pt idx="54">
                <c:v>0.66666666666666663</c:v>
              </c:pt>
              <c:pt idx="55">
                <c:v>0.66666666666666663</c:v>
              </c:pt>
              <c:pt idx="56">
                <c:v>0.66666666666666663</c:v>
              </c:pt>
              <c:pt idx="57">
                <c:v>0.66666666666666663</c:v>
              </c:pt>
              <c:pt idx="58">
                <c:v>0.66666666666666663</c:v>
              </c:pt>
              <c:pt idx="59">
                <c:v>0.66666666666666663</c:v>
              </c:pt>
              <c:pt idx="60">
                <c:v>0.66666666666666663</c:v>
              </c:pt>
              <c:pt idx="61">
                <c:v>0.66666666666666663</c:v>
              </c:pt>
              <c:pt idx="62">
                <c:v>0.7142857142857143</c:v>
              </c:pt>
              <c:pt idx="63">
                <c:v>0.72727272727272729</c:v>
              </c:pt>
              <c:pt idx="64">
                <c:v>0.72727272727272729</c:v>
              </c:pt>
              <c:pt idx="65">
                <c:v>0.75</c:v>
              </c:pt>
              <c:pt idx="66">
                <c:v>0.75</c:v>
              </c:pt>
              <c:pt idx="67">
                <c:v>0.8</c:v>
              </c:pt>
              <c:pt idx="68">
                <c:v>0.8</c:v>
              </c:pt>
            </c:numLit>
          </c:val>
          <c:extLst>
            <c:ext xmlns:c16="http://schemas.microsoft.com/office/drawing/2014/chart" uri="{C3380CC4-5D6E-409C-BE32-E72D297353CC}">
              <c16:uniqueId val="{00000001-9B71-4318-A4A7-E470AFDB4023}"/>
            </c:ext>
          </c:extLst>
        </c:ser>
        <c:dLbls>
          <c:showLegendKey val="0"/>
          <c:showVal val="0"/>
          <c:showCatName val="0"/>
          <c:showSerName val="0"/>
          <c:showPercent val="0"/>
          <c:showBubbleSize val="0"/>
        </c:dLbls>
        <c:gapWidth val="150"/>
        <c:overlap val="100"/>
        <c:axId val="1843294400"/>
        <c:axId val="572304192"/>
      </c:barChart>
      <c:catAx>
        <c:axId val="18432944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72304192"/>
        <c:crosses val="autoZero"/>
        <c:auto val="1"/>
        <c:lblAlgn val="ctr"/>
        <c:lblOffset val="100"/>
        <c:noMultiLvlLbl val="0"/>
      </c:catAx>
      <c:valAx>
        <c:axId val="572304192"/>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432944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[SURVIVOR Project - Jack Powell.xlsm]Challenge Performance!PivotTable3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Win Percentage By Demographic</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'Challenge Performance'!$C$505</c:f>
              <c:strCache>
                <c:ptCount val="1"/>
                <c:pt idx="0">
                  <c:v>Sum of Number Of Winners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0FD-4B19-BD55-44F71F64D2D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0FD-4B19-BD55-44F71F64D2D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0FD-4B19-BD55-44F71F64D2D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0FD-4B19-BD55-44F71F64D2D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0FD-4B19-BD55-44F71F64D2D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D0FD-4B19-BD55-44F71F64D2DF}"/>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D0FD-4B19-BD55-44F71F64D2D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D0FD-4B19-BD55-44F71F64D2D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'Challenge Performance'!$B$506:$B$514</c:f>
              <c:strCache>
                <c:ptCount val="8"/>
                <c:pt idx="0">
                  <c:v>Male US</c:v>
                </c:pt>
                <c:pt idx="1">
                  <c:v>Female US</c:v>
                </c:pt>
                <c:pt idx="2">
                  <c:v>Male AUS</c:v>
                </c:pt>
                <c:pt idx="3">
                  <c:v>Male SA</c:v>
                </c:pt>
                <c:pt idx="4">
                  <c:v>Female AUS</c:v>
                </c:pt>
                <c:pt idx="5">
                  <c:v>Female SA</c:v>
                </c:pt>
                <c:pt idx="6">
                  <c:v>Male NZ</c:v>
                </c:pt>
                <c:pt idx="7">
                  <c:v>Female NZ</c:v>
                </c:pt>
              </c:strCache>
            </c:strRef>
          </c:cat>
          <c:val>
            <c:numRef>
              <c:f>'Challenge Performance'!$C$506:$C$514</c:f>
              <c:numCache>
                <c:formatCode>General</c:formatCode>
                <c:ptCount val="8"/>
                <c:pt idx="0">
                  <c:v>251</c:v>
                </c:pt>
                <c:pt idx="1">
                  <c:v>160</c:v>
                </c:pt>
                <c:pt idx="2">
                  <c:v>60</c:v>
                </c:pt>
                <c:pt idx="3">
                  <c:v>58</c:v>
                </c:pt>
                <c:pt idx="4">
                  <c:v>56</c:v>
                </c:pt>
                <c:pt idx="5">
                  <c:v>27</c:v>
                </c:pt>
                <c:pt idx="6">
                  <c:v>16</c:v>
                </c:pt>
                <c:pt idx="7">
                  <c:v>9</c:v>
                </c:pt>
              </c:numCache>
            </c:numRef>
          </c:val>
          <c:extLst>
            <c:ext xmlns:c16="http://schemas.microsoft.com/office/drawing/2014/chart" uri="{C3380CC4-5D6E-409C-BE32-E72D297353CC}">
              <c16:uniqueId val="{00000000-3C82-4689-BF26-0CC68885B4FD}"/>
            </c:ext>
          </c:extLst>
        </c:ser>
        <c:ser>
          <c:idx val="1"/>
          <c:order val="1"/>
          <c:tx>
            <c:strRef>
              <c:f>'Challenge Performance'!$D$505</c:f>
              <c:strCache>
                <c:ptCount val="1"/>
                <c:pt idx="0">
                  <c:v>Average of Win Percentage by Demographic</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D0FD-4B19-BD55-44F71F64D2D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D0FD-4B19-BD55-44F71F64D2D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D0FD-4B19-BD55-44F71F64D2D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D0FD-4B19-BD55-44F71F64D2D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D0FD-4B19-BD55-44F71F64D2D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D0FD-4B19-BD55-44F71F64D2DF}"/>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D0FD-4B19-BD55-44F71F64D2D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D0FD-4B19-BD55-44F71F64D2D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'Challenge Performance'!$B$506:$B$514</c:f>
              <c:strCache>
                <c:ptCount val="8"/>
                <c:pt idx="0">
                  <c:v>Male US</c:v>
                </c:pt>
                <c:pt idx="1">
                  <c:v>Female US</c:v>
                </c:pt>
                <c:pt idx="2">
                  <c:v>Male AUS</c:v>
                </c:pt>
                <c:pt idx="3">
                  <c:v>Male SA</c:v>
                </c:pt>
                <c:pt idx="4">
                  <c:v>Female AUS</c:v>
                </c:pt>
                <c:pt idx="5">
                  <c:v>Female SA</c:v>
                </c:pt>
                <c:pt idx="6">
                  <c:v>Male NZ</c:v>
                </c:pt>
                <c:pt idx="7">
                  <c:v>Female NZ</c:v>
                </c:pt>
              </c:strCache>
            </c:strRef>
          </c:cat>
          <c:val>
            <c:numRef>
              <c:f>'Challenge Performance'!$D$506:$D$514</c:f>
              <c:numCache>
                <c:formatCode>0%</c:formatCode>
                <c:ptCount val="8"/>
                <c:pt idx="0">
                  <c:v>0.39403453689167978</c:v>
                </c:pt>
                <c:pt idx="1">
                  <c:v>0.25117739403453687</c:v>
                </c:pt>
                <c:pt idx="2">
                  <c:v>9.4191522762951341E-2</c:v>
                </c:pt>
                <c:pt idx="3">
                  <c:v>9.1051805337519623E-2</c:v>
                </c:pt>
                <c:pt idx="4">
                  <c:v>8.7912087912087919E-2</c:v>
                </c:pt>
                <c:pt idx="5">
                  <c:v>4.2386185243328101E-2</c:v>
                </c:pt>
                <c:pt idx="6">
                  <c:v>2.5117739403453691E-2</c:v>
                </c:pt>
                <c:pt idx="7">
                  <c:v>1.4128728414442701E-2</c:v>
                </c:pt>
              </c:numCache>
            </c:numRef>
          </c:val>
          <c:extLst>
            <c:ext xmlns:c16="http://schemas.microsoft.com/office/drawing/2014/chart" uri="{C3380CC4-5D6E-409C-BE32-E72D297353CC}">
              <c16:uniqueId val="{00000001-3C82-4689-BF26-0CC68885B4F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[SURVIVOR Project - Jack Powell.xlsm]Challenge Performance!PivotTable10</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Male</a:t>
            </a:r>
            <a:r>
              <a:rPr lang="en-US" baseline="0"/>
              <a:t> Win % vs. Female Win % By Type Of Challenge</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'Challenge Performance'!$C$545</c:f>
              <c:strCache>
                <c:ptCount val="1"/>
                <c:pt idx="0">
                  <c:v>Average of % Male Winners</c:v>
                </c:pt>
              </c:strCache>
            </c:strRef>
          </c:tx>
          <c:spPr>
            <a:solidFill>
              <a:schemeClr val="accent1">
                <a:alpha val="85000"/>
              </a:schemeClr>
            </a:solidFill>
            <a:ln w="9525" cap="flat" cmpd="sng" algn="ctr">
              <a:solidFill>
                <a:schemeClr val="lt1">
                  <a:alpha val="50000"/>
                </a:schemeClr>
              </a:solidFill>
              <a:round/>
            </a:ln>
            <a:effectLst/>
          </c:spPr>
          <c:invertIfNegative val="0"/>
          <c:cat>
            <c:strRef>
              <c:f>'Challenge Performance'!$B$546:$B$552</c:f>
              <c:strCache>
                <c:ptCount val="6"/>
                <c:pt idx="0">
                  <c:v>Endurance</c:v>
                </c:pt>
                <c:pt idx="1">
                  <c:v>Memory</c:v>
                </c:pt>
                <c:pt idx="2">
                  <c:v>Quiz</c:v>
                </c:pt>
                <c:pt idx="3">
                  <c:v>Race</c:v>
                </c:pt>
                <c:pt idx="4">
                  <c:v>Race, Rounds</c:v>
                </c:pt>
                <c:pt idx="5">
                  <c:v>Rounds</c:v>
                </c:pt>
              </c:strCache>
            </c:strRef>
          </c:cat>
          <c:val>
            <c:numRef>
              <c:f>'Challenge Performance'!$C$546:$C$552</c:f>
              <c:numCache>
                <c:formatCode>0%</c:formatCode>
                <c:ptCount val="6"/>
                <c:pt idx="0">
                  <c:v>0.47196765223081011</c:v>
                </c:pt>
                <c:pt idx="1">
                  <c:v>0.6875</c:v>
                </c:pt>
                <c:pt idx="2">
                  <c:v>0.46666666666666662</c:v>
                </c:pt>
                <c:pt idx="3">
                  <c:v>0.70711709586709626</c:v>
                </c:pt>
                <c:pt idx="4">
                  <c:v>0.5</c:v>
                </c:pt>
                <c:pt idx="5">
                  <c:v>0.74963985594237692</c:v>
                </c:pt>
              </c:numCache>
            </c:numRef>
          </c:val>
          <c:extLst>
            <c:ext xmlns:c16="http://schemas.microsoft.com/office/drawing/2014/chart" uri="{C3380CC4-5D6E-409C-BE32-E72D297353CC}">
              <c16:uniqueId val="{00000000-A862-4130-A508-FBB5EE153609}"/>
            </c:ext>
          </c:extLst>
        </c:ser>
        <c:ser>
          <c:idx val="1"/>
          <c:order val="1"/>
          <c:tx>
            <c:strRef>
              <c:f>'Challenge Performance'!$D$545</c:f>
              <c:strCache>
                <c:ptCount val="1"/>
                <c:pt idx="0">
                  <c:v>Average of % Female Winners</c:v>
                </c:pt>
              </c:strCache>
            </c:strRef>
          </c:tx>
          <c:spPr>
            <a:solidFill>
              <a:schemeClr val="accent2">
                <a:alpha val="85000"/>
              </a:schemeClr>
            </a:solidFill>
            <a:ln w="9525" cap="flat" cmpd="sng" algn="ctr">
              <a:solidFill>
                <a:schemeClr val="lt1">
                  <a:alpha val="50000"/>
                </a:schemeClr>
              </a:solidFill>
              <a:round/>
            </a:ln>
            <a:effectLst/>
          </c:spPr>
          <c:invertIfNegative val="0"/>
          <c:cat>
            <c:strRef>
              <c:f>'Challenge Performance'!$B$546:$B$552</c:f>
              <c:strCache>
                <c:ptCount val="6"/>
                <c:pt idx="0">
                  <c:v>Endurance</c:v>
                </c:pt>
                <c:pt idx="1">
                  <c:v>Memory</c:v>
                </c:pt>
                <c:pt idx="2">
                  <c:v>Quiz</c:v>
                </c:pt>
                <c:pt idx="3">
                  <c:v>Race</c:v>
                </c:pt>
                <c:pt idx="4">
                  <c:v>Race, Rounds</c:v>
                </c:pt>
                <c:pt idx="5">
                  <c:v>Rounds</c:v>
                </c:pt>
              </c:strCache>
            </c:strRef>
          </c:cat>
          <c:val>
            <c:numRef>
              <c:f>'Challenge Performance'!$D$546:$D$552</c:f>
              <c:numCache>
                <c:formatCode>0%</c:formatCode>
                <c:ptCount val="6"/>
                <c:pt idx="0">
                  <c:v>0.52803234776918972</c:v>
                </c:pt>
                <c:pt idx="1">
                  <c:v>0.3125</c:v>
                </c:pt>
                <c:pt idx="2">
                  <c:v>0.53333333333333333</c:v>
                </c:pt>
                <c:pt idx="3">
                  <c:v>0.29288290413290408</c:v>
                </c:pt>
                <c:pt idx="4">
                  <c:v>0.5</c:v>
                </c:pt>
                <c:pt idx="5">
                  <c:v>0.25036014405762302</c:v>
                </c:pt>
              </c:numCache>
            </c:numRef>
          </c:val>
          <c:extLst>
            <c:ext xmlns:c16="http://schemas.microsoft.com/office/drawing/2014/chart" uri="{C3380CC4-5D6E-409C-BE32-E72D297353CC}">
              <c16:uniqueId val="{00000001-A862-4130-A508-FBB5EE153609}"/>
            </c:ext>
          </c:extLst>
        </c:ser>
        <c:dLbls>
          <c:showLegendKey val="0"/>
          <c:showVal val="0"/>
          <c:showCatName val="0"/>
          <c:showSerName val="0"/>
          <c:showPercent val="0"/>
          <c:showBubbleSize val="0"/>
        </c:dLbls>
        <c:gapWidth val="65"/>
        <c:axId val="665218064"/>
        <c:axId val="239244544"/>
      </c:barChart>
      <c:catAx>
        <c:axId val="6652180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9244544"/>
        <c:crosses val="autoZero"/>
        <c:auto val="1"/>
        <c:lblAlgn val="ctr"/>
        <c:lblOffset val="100"/>
        <c:noMultiLvlLbl val="0"/>
      </c:catAx>
      <c:valAx>
        <c:axId val="23924454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521806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5</xdr:col>
      <xdr:colOff>239603</xdr:colOff>
      <xdr:row>7</xdr:row>
      <xdr:rowOff>105947</xdr:rowOff>
    </xdr:from>
    <xdr:to>
      <xdr:col>20</xdr:col>
      <xdr:colOff>239603</xdr:colOff>
      <xdr:row>35</xdr:row>
      <xdr:rowOff>128807</xdr:rowOff>
    </xdr:to>
    <xdr:pic>
      <xdr:nvPicPr>
        <xdr:cNvPr id="3" name="Picture 2" descr="Survivor - CBS Reality Series - Where To Watch">
          <a:extLst>
            <a:ext uri="{FF2B5EF4-FFF2-40B4-BE49-F238E27FC236}">
              <a16:creationId xmlns:a16="http://schemas.microsoft.com/office/drawing/2014/main" id="{0EAC4E67-1DAC-AF57-AD55-07484A7511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7603" y="1361006"/>
          <a:ext cx="9144000" cy="5043095"/>
        </a:xfrm>
        <a:prstGeom prst="rect">
          <a:avLst/>
        </a:prstGeom>
        <a:noFill/>
        <a:effectLst>
          <a:softEdge rad="63500"/>
        </a:effectLst>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286871</xdr:colOff>
      <xdr:row>2</xdr:row>
      <xdr:rowOff>0</xdr:rowOff>
    </xdr:from>
    <xdr:to>
      <xdr:col>24</xdr:col>
      <xdr:colOff>1088</xdr:colOff>
      <xdr:row>4</xdr:row>
      <xdr:rowOff>31727</xdr:rowOff>
    </xdr:to>
    <xdr:sp macro="[0]!NavButton" textlink="">
      <xdr:nvSpPr>
        <xdr:cNvPr id="2" name="Rectangle 1">
          <a:extLst>
            <a:ext uri="{FF2B5EF4-FFF2-40B4-BE49-F238E27FC236}">
              <a16:creationId xmlns:a16="http://schemas.microsoft.com/office/drawing/2014/main" id="{671AA6E6-102E-E640-886F-CE55D6FD29E4}"/>
            </a:ext>
          </a:extLst>
        </xdr:cNvPr>
        <xdr:cNvSpPr/>
      </xdr:nvSpPr>
      <xdr:spPr>
        <a:xfrm>
          <a:off x="12478871" y="358588"/>
          <a:ext cx="2152617" cy="390315"/>
        </a:xfrm>
        <a:prstGeom prst="rect">
          <a:avLst/>
        </a:prstGeom>
        <a:solidFill>
          <a:schemeClr val="accent2">
            <a:lumMod val="75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u="none">
              <a:solidFill>
                <a:schemeClr val="tx1"/>
              </a:solidFill>
            </a:rPr>
            <a:t>Project Navigation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2246299</xdr:colOff>
      <xdr:row>1</xdr:row>
      <xdr:rowOff>185056</xdr:rowOff>
    </xdr:from>
    <xdr:to>
      <xdr:col>19</xdr:col>
      <xdr:colOff>959030</xdr:colOff>
      <xdr:row>4</xdr:row>
      <xdr:rowOff>31726</xdr:rowOff>
    </xdr:to>
    <xdr:sp macro="[0]!NavButton" textlink="">
      <xdr:nvSpPr>
        <xdr:cNvPr id="2" name="Rectangle 1">
          <a:extLst>
            <a:ext uri="{FF2B5EF4-FFF2-40B4-BE49-F238E27FC236}">
              <a16:creationId xmlns:a16="http://schemas.microsoft.com/office/drawing/2014/main" id="{7C21DFAC-F8A6-4F13-BA47-08C94BABC377}"/>
            </a:ext>
          </a:extLst>
        </xdr:cNvPr>
        <xdr:cNvSpPr/>
      </xdr:nvSpPr>
      <xdr:spPr>
        <a:xfrm>
          <a:off x="22559042" y="370113"/>
          <a:ext cx="2152617" cy="576013"/>
        </a:xfrm>
        <a:prstGeom prst="rect">
          <a:avLst/>
        </a:prstGeom>
        <a:solidFill>
          <a:schemeClr val="accent2">
            <a:lumMod val="75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u="none">
              <a:solidFill>
                <a:schemeClr val="tx1"/>
              </a:solidFill>
            </a:rPr>
            <a:t>Project Navigation</a:t>
          </a:r>
        </a:p>
      </xdr:txBody>
    </xdr:sp>
    <xdr:clientData/>
  </xdr:twoCellAnchor>
  <xdr:twoCellAnchor editAs="oneCell">
    <xdr:from>
      <xdr:col>13</xdr:col>
      <xdr:colOff>65314</xdr:colOff>
      <xdr:row>168</xdr:row>
      <xdr:rowOff>76200</xdr:rowOff>
    </xdr:from>
    <xdr:to>
      <xdr:col>14</xdr:col>
      <xdr:colOff>849086</xdr:colOff>
      <xdr:row>171</xdr:row>
      <xdr:rowOff>130627</xdr:rowOff>
    </xdr:to>
    <mc:AlternateContent xmlns:mc="http://schemas.openxmlformats.org/markup-compatibility/2006" xmlns:a14="http://schemas.microsoft.com/office/drawing/2010/main">
      <mc:Choice Requires="a14">
        <xdr:graphicFrame macro="">
          <xdr:nvGraphicFramePr>
            <xdr:cNvPr id="3" name="Name">
              <a:extLst>
                <a:ext uri="{FF2B5EF4-FFF2-40B4-BE49-F238E27FC236}">
                  <a16:creationId xmlns:a16="http://schemas.microsoft.com/office/drawing/2014/main" id="{32203EF2-DE03-1A39-F71A-B3AEF7BAED61}"/>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4151428" y="33408257"/>
              <a:ext cx="2188029" cy="60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105293</xdr:colOff>
      <xdr:row>168</xdr:row>
      <xdr:rowOff>76200</xdr:rowOff>
    </xdr:from>
    <xdr:to>
      <xdr:col>16</xdr:col>
      <xdr:colOff>3080657</xdr:colOff>
      <xdr:row>171</xdr:row>
      <xdr:rowOff>120706</xdr:rowOff>
    </xdr:to>
    <mc:AlternateContent xmlns:mc="http://schemas.openxmlformats.org/markup-compatibility/2006" xmlns:a14="http://schemas.microsoft.com/office/drawing/2010/main">
      <mc:Choice Requires="a14">
        <xdr:graphicFrame macro="">
          <xdr:nvGraphicFramePr>
            <xdr:cNvPr id="4" name="Name 1">
              <a:extLst>
                <a:ext uri="{FF2B5EF4-FFF2-40B4-BE49-F238E27FC236}">
                  <a16:creationId xmlns:a16="http://schemas.microsoft.com/office/drawing/2014/main" id="{475264A7-D1C9-5758-0C45-DA193AAC5FB0}"/>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16800020" y="31283563"/>
              <a:ext cx="4268784" cy="9658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108857</xdr:colOff>
      <xdr:row>168</xdr:row>
      <xdr:rowOff>87085</xdr:rowOff>
    </xdr:from>
    <xdr:to>
      <xdr:col>19</xdr:col>
      <xdr:colOff>892628</xdr:colOff>
      <xdr:row>171</xdr:row>
      <xdr:rowOff>108857</xdr:rowOff>
    </xdr:to>
    <mc:AlternateContent xmlns:mc="http://schemas.openxmlformats.org/markup-compatibility/2006" xmlns:a14="http://schemas.microsoft.com/office/drawing/2010/main">
      <mc:Choice Requires="a14">
        <xdr:graphicFrame macro="">
          <xdr:nvGraphicFramePr>
            <xdr:cNvPr id="5" name="Name 2">
              <a:extLst>
                <a:ext uri="{FF2B5EF4-FFF2-40B4-BE49-F238E27FC236}">
                  <a16:creationId xmlns:a16="http://schemas.microsoft.com/office/drawing/2014/main" id="{5A7D76AF-F536-1BB0-BE5A-8152D1C7B4DB}"/>
                </a:ext>
              </a:extLst>
            </xdr:cNvPr>
            <xdr:cNvGraphicFramePr/>
          </xdr:nvGraphicFramePr>
          <xdr:xfrm>
            <a:off x="0" y="0"/>
            <a:ext cx="0" cy="0"/>
          </xdr:xfrm>
          <a:graphic>
            <a:graphicData uri="http://schemas.microsoft.com/office/drawing/2010/slicer">
              <sle:slicer xmlns:sle="http://schemas.microsoft.com/office/drawing/2010/slicer" name="Name 2"/>
            </a:graphicData>
          </a:graphic>
        </xdr:graphicFrame>
      </mc:Choice>
      <mc:Fallback xmlns="">
        <xdr:sp macro="" textlink="">
          <xdr:nvSpPr>
            <xdr:cNvPr id="0" name=""/>
            <xdr:cNvSpPr>
              <a:spLocks noTextEdit="1"/>
            </xdr:cNvSpPr>
          </xdr:nvSpPr>
          <xdr:spPr>
            <a:xfrm>
              <a:off x="20847627" y="31476538"/>
              <a:ext cx="3619500" cy="990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332509</xdr:colOff>
      <xdr:row>178</xdr:row>
      <xdr:rowOff>152400</xdr:rowOff>
    </xdr:from>
    <xdr:to>
      <xdr:col>13</xdr:col>
      <xdr:colOff>692727</xdr:colOff>
      <xdr:row>223</xdr:row>
      <xdr:rowOff>138546</xdr:rowOff>
    </xdr:to>
    <xdr:graphicFrame macro="">
      <xdr:nvGraphicFramePr>
        <xdr:cNvPr id="10" name="Chart 9">
          <a:extLst>
            <a:ext uri="{FF2B5EF4-FFF2-40B4-BE49-F238E27FC236}">
              <a16:creationId xmlns:a16="http://schemas.microsoft.com/office/drawing/2014/main" id="{EDE47F3D-9645-43E3-8912-7FE5DE73B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324393</xdr:colOff>
      <xdr:row>226</xdr:row>
      <xdr:rowOff>60960</xdr:rowOff>
    </xdr:from>
    <xdr:to>
      <xdr:col>13</xdr:col>
      <xdr:colOff>707571</xdr:colOff>
      <xdr:row>264</xdr:row>
      <xdr:rowOff>119742</xdr:rowOff>
    </xdr:to>
    <xdr:graphicFrame macro="">
      <xdr:nvGraphicFramePr>
        <xdr:cNvPr id="6" name="Chart 5">
          <a:extLst>
            <a:ext uri="{FF2B5EF4-FFF2-40B4-BE49-F238E27FC236}">
              <a16:creationId xmlns:a16="http://schemas.microsoft.com/office/drawing/2014/main" id="{0036A479-1D51-A729-8E06-CA4D87C607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311725</xdr:colOff>
      <xdr:row>267</xdr:row>
      <xdr:rowOff>103907</xdr:rowOff>
    </xdr:from>
    <xdr:to>
      <xdr:col>13</xdr:col>
      <xdr:colOff>692726</xdr:colOff>
      <xdr:row>312</xdr:row>
      <xdr:rowOff>124690</xdr:rowOff>
    </xdr:to>
    <xdr:graphicFrame macro="">
      <xdr:nvGraphicFramePr>
        <xdr:cNvPr id="7" name="Chart 6">
          <a:extLst>
            <a:ext uri="{FF2B5EF4-FFF2-40B4-BE49-F238E27FC236}">
              <a16:creationId xmlns:a16="http://schemas.microsoft.com/office/drawing/2014/main" id="{D14EB00D-9201-6DA2-DC2B-513EC605E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293912</xdr:colOff>
      <xdr:row>316</xdr:row>
      <xdr:rowOff>21773</xdr:rowOff>
    </xdr:from>
    <xdr:to>
      <xdr:col>13</xdr:col>
      <xdr:colOff>718456</xdr:colOff>
      <xdr:row>351</xdr:row>
      <xdr:rowOff>54429</xdr:rowOff>
    </xdr:to>
    <xdr:graphicFrame macro="">
      <xdr:nvGraphicFramePr>
        <xdr:cNvPr id="14" name="Chart 13">
          <a:extLst>
            <a:ext uri="{FF2B5EF4-FFF2-40B4-BE49-F238E27FC236}">
              <a16:creationId xmlns:a16="http://schemas.microsoft.com/office/drawing/2014/main" id="{91760728-28FD-428F-876B-3467228030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121921</xdr:colOff>
      <xdr:row>2</xdr:row>
      <xdr:rowOff>2176</xdr:rowOff>
    </xdr:from>
    <xdr:to>
      <xdr:col>17</xdr:col>
      <xdr:colOff>608511</xdr:colOff>
      <xdr:row>4</xdr:row>
      <xdr:rowOff>31726</xdr:rowOff>
    </xdr:to>
    <xdr:sp macro="[0]!NavButton" textlink="">
      <xdr:nvSpPr>
        <xdr:cNvPr id="2" name="Rectangle 1">
          <a:extLst>
            <a:ext uri="{FF2B5EF4-FFF2-40B4-BE49-F238E27FC236}">
              <a16:creationId xmlns:a16="http://schemas.microsoft.com/office/drawing/2014/main" id="{F81D3841-18CA-4664-8498-1DF2B0C6E613}"/>
            </a:ext>
          </a:extLst>
        </xdr:cNvPr>
        <xdr:cNvSpPr/>
      </xdr:nvSpPr>
      <xdr:spPr>
        <a:xfrm>
          <a:off x="9875521" y="367936"/>
          <a:ext cx="2315390" cy="562950"/>
        </a:xfrm>
        <a:prstGeom prst="rect">
          <a:avLst/>
        </a:prstGeom>
        <a:solidFill>
          <a:schemeClr val="accent2">
            <a:lumMod val="75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u="none">
              <a:solidFill>
                <a:schemeClr val="tx1"/>
              </a:solidFill>
            </a:rPr>
            <a:t>Project Navigation</a:t>
          </a:r>
        </a:p>
      </xdr:txBody>
    </xdr:sp>
    <xdr:clientData/>
  </xdr:twoCellAnchor>
  <xdr:twoCellAnchor>
    <xdr:from>
      <xdr:col>1</xdr:col>
      <xdr:colOff>370115</xdr:colOff>
      <xdr:row>260</xdr:row>
      <xdr:rowOff>32657</xdr:rowOff>
    </xdr:from>
    <xdr:to>
      <xdr:col>8</xdr:col>
      <xdr:colOff>76200</xdr:colOff>
      <xdr:row>290</xdr:row>
      <xdr:rowOff>1</xdr:rowOff>
    </xdr:to>
    <xdr:graphicFrame macro="">
      <xdr:nvGraphicFramePr>
        <xdr:cNvPr id="3" name="Chart 2">
          <a:extLst>
            <a:ext uri="{FF2B5EF4-FFF2-40B4-BE49-F238E27FC236}">
              <a16:creationId xmlns:a16="http://schemas.microsoft.com/office/drawing/2014/main" id="{6FA64068-0B30-D4F7-A15E-C07E370421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370112</xdr:colOff>
      <xdr:row>292</xdr:row>
      <xdr:rowOff>65312</xdr:rowOff>
    </xdr:from>
    <xdr:to>
      <xdr:col>8</xdr:col>
      <xdr:colOff>65314</xdr:colOff>
      <xdr:row>332</xdr:row>
      <xdr:rowOff>21772</xdr:rowOff>
    </xdr:to>
    <xdr:graphicFrame macro="">
      <xdr:nvGraphicFramePr>
        <xdr:cNvPr id="4" name="Chart 3">
          <a:extLst>
            <a:ext uri="{FF2B5EF4-FFF2-40B4-BE49-F238E27FC236}">
              <a16:creationId xmlns:a16="http://schemas.microsoft.com/office/drawing/2014/main" id="{62DBCA15-CADB-1E95-2326-936A711AA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332014</xdr:colOff>
      <xdr:row>335</xdr:row>
      <xdr:rowOff>32657</xdr:rowOff>
    </xdr:from>
    <xdr:to>
      <xdr:col>8</xdr:col>
      <xdr:colOff>96982</xdr:colOff>
      <xdr:row>397</xdr:row>
      <xdr:rowOff>130628</xdr:rowOff>
    </xdr:to>
    <xdr:graphicFrame macro="">
      <xdr:nvGraphicFramePr>
        <xdr:cNvPr id="5" name="Chart 4">
          <a:extLst>
            <a:ext uri="{FF2B5EF4-FFF2-40B4-BE49-F238E27FC236}">
              <a16:creationId xmlns:a16="http://schemas.microsoft.com/office/drawing/2014/main" id="{F2C5A0F5-F760-39C2-68A4-6E400B0DC8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2</xdr:row>
      <xdr:rowOff>2176</xdr:rowOff>
    </xdr:from>
    <xdr:to>
      <xdr:col>17</xdr:col>
      <xdr:colOff>822960</xdr:colOff>
      <xdr:row>4</xdr:row>
      <xdr:rowOff>31726</xdr:rowOff>
    </xdr:to>
    <xdr:sp macro="[0]!NavButton" textlink="">
      <xdr:nvSpPr>
        <xdr:cNvPr id="2" name="Rectangle 1">
          <a:extLst>
            <a:ext uri="{FF2B5EF4-FFF2-40B4-BE49-F238E27FC236}">
              <a16:creationId xmlns:a16="http://schemas.microsoft.com/office/drawing/2014/main" id="{B2A38567-6A49-4EDF-92B3-0035566D2C85}"/>
            </a:ext>
          </a:extLst>
        </xdr:cNvPr>
        <xdr:cNvSpPr/>
      </xdr:nvSpPr>
      <xdr:spPr>
        <a:xfrm>
          <a:off x="8282940" y="367936"/>
          <a:ext cx="3512820" cy="562950"/>
        </a:xfrm>
        <a:prstGeom prst="rect">
          <a:avLst/>
        </a:prstGeom>
        <a:solidFill>
          <a:schemeClr val="accent2">
            <a:lumMod val="75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u="none">
              <a:solidFill>
                <a:schemeClr val="tx1"/>
              </a:solidFill>
            </a:rPr>
            <a:t>Project Navigation</a:t>
          </a:r>
        </a:p>
      </xdr:txBody>
    </xdr:sp>
    <xdr:clientData/>
  </xdr:twoCellAnchor>
  <xdr:twoCellAnchor>
    <xdr:from>
      <xdr:col>1</xdr:col>
      <xdr:colOff>119738</xdr:colOff>
      <xdr:row>412</xdr:row>
      <xdr:rowOff>119741</xdr:rowOff>
    </xdr:from>
    <xdr:to>
      <xdr:col>18</xdr:col>
      <xdr:colOff>1970315</xdr:colOff>
      <xdr:row>467</xdr:row>
      <xdr:rowOff>163285</xdr:rowOff>
    </xdr:to>
    <xdr:graphicFrame macro="">
      <xdr:nvGraphicFramePr>
        <xdr:cNvPr id="3" name="Chart 2">
          <a:extLst>
            <a:ext uri="{FF2B5EF4-FFF2-40B4-BE49-F238E27FC236}">
              <a16:creationId xmlns:a16="http://schemas.microsoft.com/office/drawing/2014/main" id="{A6E32682-60EF-9E91-AAAD-E6EE1EADFF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1436912</xdr:colOff>
      <xdr:row>470</xdr:row>
      <xdr:rowOff>152401</xdr:rowOff>
    </xdr:from>
    <xdr:to>
      <xdr:col>18</xdr:col>
      <xdr:colOff>1426028</xdr:colOff>
      <xdr:row>522</xdr:row>
      <xdr:rowOff>10888</xdr:rowOff>
    </xdr:to>
    <xdr:graphicFrame macro="">
      <xdr:nvGraphicFramePr>
        <xdr:cNvPr id="5" name="Chart 4">
          <a:extLst>
            <a:ext uri="{FF2B5EF4-FFF2-40B4-BE49-F238E27FC236}">
              <a16:creationId xmlns:a16="http://schemas.microsoft.com/office/drawing/2014/main" id="{45652336-F4C6-919F-47A3-157C310774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331695</xdr:colOff>
      <xdr:row>501</xdr:row>
      <xdr:rowOff>66001</xdr:rowOff>
    </xdr:from>
    <xdr:to>
      <xdr:col>8</xdr:col>
      <xdr:colOff>1264024</xdr:colOff>
      <xdr:row>537</xdr:row>
      <xdr:rowOff>17930</xdr:rowOff>
    </xdr:to>
    <xdr:graphicFrame macro="">
      <xdr:nvGraphicFramePr>
        <xdr:cNvPr id="6" name="Chart 5">
          <a:extLst>
            <a:ext uri="{FF2B5EF4-FFF2-40B4-BE49-F238E27FC236}">
              <a16:creationId xmlns:a16="http://schemas.microsoft.com/office/drawing/2014/main" id="{CBFDA28F-13ED-3F9A-09EE-CD2F723A87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298076</xdr:colOff>
      <xdr:row>545</xdr:row>
      <xdr:rowOff>96982</xdr:rowOff>
    </xdr:from>
    <xdr:to>
      <xdr:col>12</xdr:col>
      <xdr:colOff>1302327</xdr:colOff>
      <xdr:row>676</xdr:row>
      <xdr:rowOff>97971</xdr:rowOff>
    </xdr:to>
    <xdr:graphicFrame macro="">
      <xdr:nvGraphicFramePr>
        <xdr:cNvPr id="7" name="Chart 6">
          <a:extLst>
            <a:ext uri="{FF2B5EF4-FFF2-40B4-BE49-F238E27FC236}">
              <a16:creationId xmlns:a16="http://schemas.microsoft.com/office/drawing/2014/main" id="{36964E07-A6FB-30C8-7CE4-6BE7B10D66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097.884862037034" createdVersion="8" refreshedVersion="8" minRefreshableVersion="3" recordCount="44" xr:uid="{DBBDDF73-482D-47EF-9AE7-D623108DB2B5}">
  <cacheSource type="worksheet">
    <worksheetSource name="Table3"/>
  </cacheSource>
  <cacheFields count="10">
    <cacheField name="Name" numFmtId="0">
      <sharedItems count="46">
        <s v="Bob Crowley"/>
        <s v="Jud Birza"/>
        <s v="Vecepia Townsend"/>
        <s v="Michele Fitzgerald"/>
        <s v="Yam-Yam Arocho"/>
        <s v="John Cochran"/>
        <s v="Jeremy Collins"/>
        <s v="Sandra Diaz-Twine"/>
        <s v="Nick Wilson"/>
        <s v="Tony Vlachos"/>
        <s v="Aras Baskauskas"/>
        <s v="Natalie Anderson"/>
        <s v="Ben Driebergen"/>
        <s v="Wendell Holland"/>
        <s v="Denise Stapley"/>
        <s v="Chris Underwood"/>
        <s v="Jenna Morasca"/>
        <s v="J.T. Thomas"/>
        <s v="Mike Holloway"/>
        <s v="Sandra Diaz-Twine (1)"/>
        <s v="Danni Boatwright"/>
        <s v="Sarah Lacina"/>
        <s v="Adam Klein"/>
        <s v="Chris Daugherty"/>
        <s v="Sophie Clarke"/>
        <s v="Tom Westman"/>
        <s v="Maryanne Oketch"/>
        <s v="Earl Cole"/>
        <s v="Mike Gabler"/>
        <s v="Tommy Sheehan"/>
        <s v="Kim spradlin"/>
        <s v="Richard Hatch"/>
        <s v="Tyson Apostol"/>
        <s v="Rob Mariano"/>
        <s v="Erika Casupanan"/>
        <s v="Amber Brkich"/>
        <s v="Parvati Shallow"/>
        <s v="Tony Vlachos (1)"/>
        <s v="Tina Wesson"/>
        <s v="Ethan Zohn"/>
        <s v="Natalie White"/>
        <s v="Brian Heidik"/>
        <s v="Todd Herzog"/>
        <s v="Yul Kwon"/>
        <s v="Amber Mariano" u="1"/>
        <s v="Kim Spradlin-Wolfe" u="1"/>
      </sharedItems>
    </cacheField>
    <cacheField name="Tribals Attended" numFmtId="0">
      <sharedItems containsSemiMixedTypes="0" containsString="0" containsNumber="1" containsInteger="1" minValue="5" maxValue="14"/>
    </cacheField>
    <cacheField name="Total Tribals in Season" numFmtId="0">
      <sharedItems containsSemiMixedTypes="0" containsString="0" containsNumber="1" containsInteger="1" minValue="12" maxValue="18"/>
    </cacheField>
    <cacheField name="Votes In Minority at Tribal" numFmtId="0">
      <sharedItems containsSemiMixedTypes="0" containsString="0" containsNumber="1" minValue="0" maxValue="4"/>
    </cacheField>
    <cacheField name="Votes in Majority at Tribal" numFmtId="0">
      <sharedItems containsSemiMixedTypes="0" containsString="0" containsNumber="1" minValue="2" maxValue="13"/>
    </cacheField>
    <cacheField name="Tribals Attended That Winner Could Not Vote" numFmtId="0">
      <sharedItems containsSemiMixedTypes="0" containsString="0" containsNumber="1" containsInteger="1" minValue="0" maxValue="1"/>
    </cacheField>
    <cacheField name="Correct Votes at Tribal" numFmtId="0">
      <sharedItems containsSemiMixedTypes="0" containsString="0" containsNumber="1" minValue="4" maxValue="14"/>
    </cacheField>
    <cacheField name="VAR - Voting Accuracy Record - Correct Votes/Tribals Attended" numFmtId="9">
      <sharedItems containsSemiMixedTypes="0" containsString="0" containsNumber="1" minValue="0.55555555555555558" maxValue="1"/>
    </cacheField>
    <cacheField name="Comparative Ranking To Other Winners" numFmtId="0">
      <sharedItems containsSemiMixedTypes="0" containsString="0" containsNumber="1" containsInteger="1" minValue="1" maxValue="44"/>
    </cacheField>
    <cacheField name="Gender" numFmtId="0">
      <sharedItems/>
    </cacheField>
  </cacheFields>
  <extLst>
    <ext xmlns:x14="http://schemas.microsoft.com/office/spreadsheetml/2009/9/main" uri="{725AE2AE-9491-48be-B2B4-4EB974FC3084}">
      <x14:pivotCacheDefinition pivotCacheId="6350964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099.826767245373" createdVersion="8" refreshedVersion="8" minRefreshableVersion="3" recordCount="6" xr:uid="{B3399CD7-C7E6-4D73-82A5-BF38F8D358EF}">
  <cacheSource type="worksheet">
    <worksheetSource name="Table2"/>
  </cacheSource>
  <cacheFields count="6">
    <cacheField name="Alliance Size" numFmtId="0">
      <sharedItems containsSemiMixedTypes="0" containsString="0" containsNumber="1" containsInteger="1" minValue="3" maxValue="8" count="6">
        <n v="3"/>
        <n v="4"/>
        <n v="5"/>
        <n v="6"/>
        <n v="7"/>
        <n v="8"/>
      </sharedItems>
    </cacheField>
    <cacheField name="Count of Alliances" numFmtId="0">
      <sharedItems containsSemiMixedTypes="0" containsString="0" containsNumber="1" containsInteger="1" minValue="3" maxValue="31"/>
    </cacheField>
    <cacheField name="Highest Average Alliance Per Size" numFmtId="0">
      <sharedItems count="6">
        <s v="Jalapao Three - 2.33"/>
        <s v="Tagi Alliance, Final Four (9), Aitu Four - 2"/>
        <s v="Outsiders Alliance - Chuay Gahn Five - 3"/>
        <s v="Chapera Alliance - 3.67"/>
        <s v="Stealth R Us (22) - 4.29"/>
        <s v="Naviti Alliance - 6.63"/>
      </sharedItems>
    </cacheField>
    <cacheField name="Lowest Average Alliance Per Size" numFmtId="0">
      <sharedItems count="6">
        <s v="Russell's Zapatera Alliance - 15.33"/>
        <s v="Muscle Alliance - 13"/>
        <s v="Cool Kids Alliance/Three Amigos - 11.6"/>
        <s v="Takali Alliance, Triforce - 11.33"/>
        <s v="Savaii Alliance - 9.86"/>
        <s v="Goliath Alliance - 7.88"/>
      </sharedItems>
    </cacheField>
    <cacheField name="Average Alliance Size Placement" numFmtId="0">
      <sharedItems containsSemiMixedTypes="0" containsString="0" containsNumber="1" minValue="6.1851851851851851" maxValue="7.6666666666666652"/>
    </cacheField>
    <cacheField name="Comparative Ranking To Other Sizes" numFmtId="0">
      <sharedItems containsSemiMixedTypes="0" containsString="0" containsNumber="1" containsInteger="1" minValue="1" maxValue="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101.784514120372" createdVersion="8" refreshedVersion="8" minRefreshableVersion="3" recordCount="104" xr:uid="{19730E8B-C126-49B0-AA88-16794DA9FC99}">
  <cacheSource type="worksheet">
    <worksheetSource name="Table1"/>
  </cacheSource>
  <cacheFields count="7">
    <cacheField name="Alliance Name" numFmtId="0">
      <sharedItems count="104">
        <s v="Russell's Zapatera Alliance"/>
        <s v="Older Airai Alliance"/>
        <s v="Espada Alliance"/>
        <s v="Yase Alliance"/>
        <s v="Kalabaw Alliance"/>
        <s v="Barbeque Alliance"/>
        <s v="Zhan Hu Alliance"/>
        <s v="Matsing Alliance"/>
        <s v="Timbira Alliance"/>
        <s v="Fulcrum Alliance"/>
        <s v="Tika Three"/>
        <s v="Jalapao Three"/>
        <s v="Muscle Alliance"/>
        <s v="Older Samburu Alliance"/>
        <s v="Younger Samburu Alliance"/>
        <s v="Yaxhá Alliance"/>
        <s v="Witches' Coven"/>
        <s v="Mogo Mogo Alliance"/>
        <s v="La Mina Alliance"/>
        <s v="Nagarote Alliance"/>
        <s v="Coco Alliance"/>
        <s v="Rotu 4"/>
        <s v="Maraamu Alliance"/>
        <s v="Soka Alliance"/>
        <s v="Ride or Die"/>
        <s v="Four Horsemen"/>
        <s v="Gondol Alliance"/>
        <s v="Campout Alliance"/>
        <s v="Exile Alliance"/>
        <s v="Final Four Alliance (35)"/>
        <s v="Syndicate Alliance"/>
        <s v="Russell's Villains Alliance"/>
        <s v="Taku Four"/>
        <s v="Final Four Alliance (41)"/>
        <s v="Foa Foa Four"/>
        <s v="Final Four Alliance (36)"/>
        <s v="Tagi Alliance"/>
        <s v="Final Four Alliance (9)"/>
        <s v="Aitu Four"/>
        <s v="Cool Kids Alliance/Three Amigos"/>
        <s v="Five Guys Alliance"/>
        <s v="Coyopa Guys Alliance"/>
        <s v="Lairo Women's Alliance"/>
        <s v="Misfit Alliance"/>
        <s v="Soko Alliance"/>
        <s v="Ratu Alliance"/>
        <s v="Morgan Alliance"/>
        <s v="Fat Five"/>
        <s v="Sook Jai Alliance"/>
        <s v="Kucha Alliance"/>
        <s v="Raro Alliance"/>
        <s v="Zeke's Vinaka Alliance"/>
        <s v="La Flor Alliance"/>
        <s v="Drake Alliance"/>
        <s v="David Alliance"/>
        <s v="Escameca Alliance"/>
        <s v="Final Four Alliance (21)"/>
        <s v="Solana Alliance"/>
        <s v="Malakal Couples Alliance"/>
        <s v="Outcast Alliance"/>
        <s v="Galang Alliance"/>
        <s v="Ogakor Alliance"/>
        <s v="Boran Alliance"/>
        <s v="David's Vinaka Alliance"/>
        <s v="Salani Alliance"/>
        <s v="Fab Five"/>
        <s v="Koror Alliance"/>
        <s v="Black Widow Brigade"/>
        <s v="Outsiders Alliance"/>
        <s v="Chuay Gahn Five"/>
        <s v="Gota Alliance"/>
        <s v="Takali Alliance"/>
        <s v="Triforce"/>
        <s v="Heroes Alliance"/>
        <s v="Zapatera Six"/>
        <s v="Rob's Villains Alliance"/>
        <s v="Kama Six"/>
        <s v="Vokai Alliance"/>
        <s v="Aparri Alliance"/>
        <s v="Stealth R Us"/>
        <s v="Manu Alliance"/>
        <s v="Tandang Alliance"/>
        <s v="Tambaqui Alliance"/>
        <s v="Power Six"/>
        <s v="Nakúm Alliance"/>
        <s v="Dara Women's Alliance"/>
        <s v="Singles Alliance"/>
        <s v="Casaya Alliance"/>
        <s v="The Family"/>
        <s v="Chapera Alliance"/>
        <s v="Savaii Alliance"/>
        <s v="Galu Alliance"/>
        <s v="Onion Alliance"/>
        <s v="Tavua Alliance"/>
        <s v="Fang Alliance"/>
        <s v="Bayon Alliance"/>
        <s v="Yasur Alliance"/>
        <s v="Jaburu Alliance"/>
        <s v="Fei Long Alliance"/>
        <s v="The Round Table"/>
        <s v="Goliath Alliance"/>
        <s v="Advantage Alliance"/>
        <s v="Naviti Alliance"/>
        <s v="Final Four Alliance" u="1"/>
      </sharedItems>
    </cacheField>
    <cacheField name="Season In" numFmtId="0">
      <sharedItems containsSemiMixedTypes="0" containsString="0" containsNumber="1" containsInteger="1" minValue="1" maxValue="44"/>
    </cacheField>
    <cacheField name="Alliance Size" numFmtId="0">
      <sharedItems containsSemiMixedTypes="0" containsString="0" containsNumber="1" containsInteger="1" minValue="3" maxValue="8"/>
    </cacheField>
    <cacheField name="Highest Placement In Alliance" numFmtId="0">
      <sharedItems/>
    </cacheField>
    <cacheField name="Lowest Placement In Alliance" numFmtId="0">
      <sharedItems/>
    </cacheField>
    <cacheField name="Average Placement of Alliance" numFmtId="0">
      <sharedItems containsSemiMixedTypes="0" containsString="0" containsNumber="1" minValue="2.3333333333333335" maxValue="15.333333333333334"/>
    </cacheField>
    <cacheField name="Comparative Ranking To Other Alliances" numFmtId="0">
      <sharedItems containsSemiMixedTypes="0" containsString="0" containsNumber="1" containsInteger="1" minValue="1" maxValue="1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116.801541666668" createdVersion="8" refreshedVersion="8" minRefreshableVersion="3" recordCount="121" xr:uid="{C68D03E6-E143-4EC7-93BE-B507777FE26D}">
  <cacheSource type="worksheet">
    <worksheetSource name="Table4"/>
  </cacheSource>
  <cacheFields count="10">
    <cacheField name="Challenge Name" numFmtId="0">
      <sharedItems count="121">
        <s v="Survivor Pentathlon"/>
        <s v="A Bit Tipsy"/>
        <s v="Over-Extended"/>
        <s v="Sea Legs"/>
        <s v="Around The Bend"/>
        <s v="Out On A Limb"/>
        <s v="Chinese Zodiac Symbols"/>
        <s v="Get A Grip"/>
        <s v="Q And A"/>
        <s v="Roller Ball"/>
        <s v="Survivor Quiz Show"/>
        <s v="House Of Cards"/>
        <s v="The Maze"/>
        <s v="Paddle Out"/>
        <s v="Splash Back"/>
        <s v="When It Rains, It Pours"/>
        <s v="Bow Diddley"/>
        <s v="Last Gasp"/>
        <s v="Simmotion"/>
        <s v="The Obstacle Course"/>
        <s v="Blue Plate Special"/>
        <s v="Domino Effect"/>
        <s v="Fast Fire"/>
        <s v="Hands On A Hard Idol"/>
        <s v="Witch Hunt"/>
        <s v="Box Your Mind"/>
        <s v="Buggin' Out"/>
        <s v="Fire And Water"/>
        <s v="Keep On Your Toes"/>
        <s v="Pole Dancing"/>
        <s v="Step On Up"/>
        <s v="The Ball Drop"/>
        <s v="Chimney Sweep"/>
        <s v="Crocodile Rock"/>
        <s v="Get Barreled"/>
        <s v="Gimme Three Steps"/>
        <s v="Uncomfortably Numb"/>
        <s v="Vertigo"/>
        <s v="Will It Go Round"/>
        <s v="Ballin' A Jack"/>
        <s v="Dizzy Miss Lizzy"/>
        <s v="Fallen Comrades"/>
        <s v="Great Escape Run"/>
        <s v="Mud Pack"/>
        <s v="Operation Balance Build"/>
        <s v="Perch"/>
        <s v="Pot Head"/>
        <s v="Race To Shore"/>
        <s v="Squared Off"/>
        <s v="Strung Out"/>
        <s v="The Game Is Afoot"/>
        <s v="This Much"/>
        <s v="Vampire Bats"/>
        <s v="Braille Maze"/>
        <s v="Dizzy Gillespie"/>
        <s v="Planks A Lot"/>
        <s v="Ram-Ball On"/>
        <s v="Running Down A Dream"/>
        <s v="Squatty Probst"/>
        <s v="Station By Station"/>
        <s v="Swahili Scramble"/>
        <s v="The Home Stretch"/>
        <s v="Total Recall"/>
        <s v="You Shook Me"/>
        <s v="5x5"/>
        <s v="Can't Buoy Me Love"/>
        <s v="Cannonball Run"/>
        <s v="Cube Crisis"/>
        <s v="Fire Fighter"/>
        <s v="Hanging By A Thread"/>
        <s v="House Of The Holey"/>
        <s v="Keel Hauling"/>
        <s v="Letter Hunt"/>
        <s v="Log Jam"/>
        <s v="Mask Match"/>
        <s v="Mind Field"/>
        <s v="Push Me, Pull You"/>
        <s v="Puzzle Dig"/>
        <s v="Rock Bottom"/>
        <s v="Shoot 'n' Shuffle"/>
        <s v="Snag, Drag, And Bag"/>
        <s v="Snake Island Relay"/>
        <s v="Stacked Up"/>
        <s v="Vertically Challenged"/>
        <s v="A Leg Up"/>
        <s v="Balancing Point"/>
        <s v="Bob-Bob Buoy"/>
        <s v="Bone To Pick"/>
        <s v="Broken China"/>
        <s v="Choose Your Weapon"/>
        <s v="Cling Ons"/>
        <s v="Coconut Juice"/>
        <s v="Do-It-Yourself Challenge"/>
        <s v="Drop A Log"/>
        <s v="End Of The Line"/>
        <s v="Eve 6"/>
        <s v="Hold Your Own"/>
        <s v="Holy Hell"/>
        <s v="Jail Break"/>
        <s v="Kitty Litter"/>
        <s v="Know Your Loved One"/>
        <s v="Know Your Ropes"/>
        <s v="Mayan Pizza"/>
        <s v="Memory"/>
        <s v="Might As Well Jump"/>
        <s v="Mud Bungee"/>
        <s v="Mud Slinging"/>
        <s v="Nut Cracker"/>
        <s v="On The Pull"/>
        <s v="Pinball Wizard"/>
        <s v="Ring Leader"/>
        <s v="Rusty Gates"/>
        <s v="Shooting Gallery"/>
        <s v="Spoon Man"/>
        <s v="Stomp-ede"/>
        <s v="Troubled Water"/>
        <s v="Walk The Plank"/>
        <s v="Wall To Wall"/>
        <s v="Well Stacked"/>
        <s v="Will Power"/>
        <s v="Wrist Assured"/>
      </sharedItems>
    </cacheField>
    <cacheField name="Number Of Occurrences" numFmtId="0">
      <sharedItems containsSemiMixedTypes="0" containsString="0" containsNumber="1" containsInteger="1" minValue="2" maxValue="17"/>
    </cacheField>
    <cacheField name="Total Amount Of Winners" numFmtId="0">
      <sharedItems containsSemiMixedTypes="0" containsString="0" containsNumber="1" containsInteger="1" minValue="2" maxValue="17"/>
    </cacheField>
    <cacheField name="Number Of Reward Iterations" numFmtId="0">
      <sharedItems containsSemiMixedTypes="0" containsString="0" containsNumber="1" containsInteger="1" minValue="0" maxValue="11"/>
    </cacheField>
    <cacheField name="Number Of Immunity Iterations" numFmtId="0">
      <sharedItems containsSemiMixedTypes="0" containsString="0" containsNumber="1" containsInteger="1" minValue="0" maxValue="14"/>
    </cacheField>
    <cacheField name="Number Of Immunity and Reward Iterations" numFmtId="0">
      <sharedItems containsSemiMixedTypes="0" containsString="0" containsNumber="1" containsInteger="1" minValue="0" maxValue="3"/>
    </cacheField>
    <cacheField name="Number Of Male Winners" numFmtId="0">
      <sharedItems containsSemiMixedTypes="0" containsString="0" containsNumber="1" containsInteger="1" minValue="0" maxValue="14"/>
    </cacheField>
    <cacheField name="Number Of Female Winners" numFmtId="0">
      <sharedItems containsSemiMixedTypes="0" containsString="0" containsNumber="1" containsInteger="1" minValue="0" maxValue="9"/>
    </cacheField>
    <cacheField name="% Male Winners" numFmtId="9">
      <sharedItems containsSemiMixedTypes="0" containsString="0" containsNumber="1" minValue="0" maxValue="1"/>
    </cacheField>
    <cacheField name="% Female Winners"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119.895574768518" createdVersion="8" refreshedVersion="8" minRefreshableVersion="3" recordCount="69" xr:uid="{45FC9212-EC6E-40DA-B641-DCCBDD993324}">
  <cacheSource type="worksheet">
    <worksheetSource ref="B504:D538" sheet="Challenge Performance"/>
  </cacheSource>
  <cacheFields count="3">
    <cacheField name="Challenge" numFmtId="0">
      <sharedItems count="69">
        <s v="This Much"/>
        <s v="Fallen Comrades"/>
        <s v="Planks A Lot"/>
        <s v="You Shook Me"/>
        <s v="When It Rains, It Pours"/>
        <s v="Splash Back"/>
        <s v="Will It Go Round"/>
        <s v="Stacked Up"/>
        <s v="Shoot 'n' Shuffle"/>
        <s v="Gimme Three Steps"/>
        <s v="Kitty Litter"/>
        <s v="Fire Fighter"/>
        <s v="Cube Crisis"/>
        <s v="Survivor Quiz Show"/>
        <s v="Q And A"/>
        <s v="Ballin' A Jack"/>
        <s v="Will Power"/>
        <s v="Crocodile Rock"/>
        <s v="Sea Legs"/>
        <s v="Vampire Bats"/>
        <s v="Pot Head"/>
        <s v="Keep On Your Toes"/>
        <s v="House Of Cards"/>
        <s v="Get A Grip"/>
        <s v="Out On A Limb"/>
        <s v="Bow Diddley"/>
        <s v="Get Barreled"/>
        <s v="Simmotion"/>
        <s v="Buggin' Out"/>
        <s v="The Ball Drop"/>
        <s v="Operation Balance Build"/>
        <s v="Dizzy Miss Lizzy"/>
        <s v="The Game Is Afoot"/>
        <s v="Perch"/>
        <s v="Squared Off"/>
        <s v="Witch Hunt"/>
        <s v="Race To Shore"/>
        <s v="Over-Extended"/>
        <s v="Fast Fire"/>
        <s v="Nut Cracker"/>
        <s v="Hanging By A Thread"/>
        <s v="House Of The Holey"/>
        <s v="Can't Buoy Me Love"/>
        <s v="Vertigo"/>
        <s v="The Obstacle Course"/>
        <s v="Chimney Sweep"/>
        <s v="Mask Match"/>
        <s v="Pole Dancing"/>
        <s v="Uncomfortably Numb"/>
        <s v="Step On Up"/>
        <s v="Fire And Water"/>
        <s v="Box Your Mind"/>
        <s v="The Maze"/>
        <s v="The Home Stretch"/>
        <s v="Blue Plate Special"/>
        <s v="Push Me, Pull You"/>
        <s v="Roller Ball"/>
        <s v="Braille Maze"/>
        <s v="Chinese Zodiac Symbols"/>
        <s v="Swahili Scramble"/>
        <s v="Ram-Ball On"/>
        <s v="Around The Bend"/>
        <s v="Great Escape Run"/>
        <s v="A Bit Tipsy"/>
        <s v="Strung Out"/>
        <s v="Last Gasp"/>
        <s v="Mud Pack"/>
        <s v="Survivor Pentathlon"/>
        <s v="Paddle Out"/>
      </sharedItems>
    </cacheField>
    <cacheField name="Male Win %" numFmtId="9">
      <sharedItems containsSemiMixedTypes="0" containsString="0" containsNumber="1" minValue="0.2" maxValue="0.9"/>
    </cacheField>
    <cacheField name="Female Win %" numFmtId="9">
      <sharedItems containsSemiMixedTypes="0" containsString="0" containsNumber="1" minValue="0.1" maxValue="0.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123.887874768516" createdVersion="8" refreshedVersion="8" minRefreshableVersion="3" recordCount="9" xr:uid="{93A28DC6-D357-431A-8943-9036BAED3C18}">
  <cacheSource type="worksheet">
    <worksheetSource ref="B505:D514" sheet="Challenge Performance"/>
  </cacheSource>
  <cacheFields count="3">
    <cacheField name="Demographic" numFmtId="0">
      <sharedItems count="9">
        <s v="Male US"/>
        <s v="Female US"/>
        <s v="Male AUS"/>
        <s v="Female AUS"/>
        <s v="Male SA"/>
        <s v="Female SA"/>
        <s v="Male NZ"/>
        <s v="Female NZ"/>
        <s v="Total"/>
      </sharedItems>
    </cacheField>
    <cacheField name="Number Of Winners" numFmtId="0">
      <sharedItems containsSemiMixedTypes="0" containsString="0" containsNumber="1" containsInteger="1" minValue="9" maxValue="637"/>
    </cacheField>
    <cacheField name="Number Of Players" numFmtId="9">
      <sharedItems containsSemiMixedTypes="0" containsString="0" containsNumber="1" minValue="1.4128728414442701E-2" maxValue="1.000000000000000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k Powell" refreshedDate="45142.407364467595" createdVersion="8" refreshedVersion="8" minRefreshableVersion="3" recordCount="121" xr:uid="{D7A7FC5D-F209-40C2-835A-BEA3FC91B815}">
  <cacheSource type="worksheet">
    <worksheetSource name="Table6"/>
  </cacheSource>
  <cacheFields count="4">
    <cacheField name="Challenge Name" numFmtId="0">
      <sharedItems count="121">
        <s v="Running Down A Dream"/>
        <s v="Station By Station"/>
        <s v="5x5"/>
        <s v="Cannonball Run"/>
        <s v="Keel Hauling"/>
        <s v="Letter Hunt"/>
        <s v="Log Jam"/>
        <s v="Mind Field"/>
        <s v="Puzzle Dig"/>
        <s v="Rock Bottom"/>
        <s v="Snag, Drag, And Bag"/>
        <s v="Vertically Challenged"/>
        <s v="Choose Your Weapon"/>
        <s v="Cling Ons"/>
        <s v="Coconut Juice"/>
        <s v="Drop A Log"/>
        <s v="End Of The Line"/>
        <s v="Jail Break"/>
        <s v="Know Your Loved One"/>
        <s v="Know Your Ropes"/>
        <s v="Mud Bungee"/>
        <s v="Mud Slinging"/>
        <s v="Pinball Wizard"/>
        <s v="Spoon Man"/>
        <s v="Stomp-ede"/>
        <s v="Troubled Water"/>
        <s v="Wall To Wall"/>
        <s v="Paddle Out"/>
        <s v="Survivor Pentathlon"/>
        <s v="A Bit Tipsy"/>
        <s v="Last Gasp"/>
        <s v="Great Escape Run"/>
        <s v="Mud Pack"/>
        <s v="Strung Out"/>
        <s v="Around The Bend"/>
        <s v="Chinese Zodiac Symbols"/>
        <s v="Roller Ball"/>
        <s v="Blue Plate Special"/>
        <s v="Braille Maze"/>
        <s v="Ram-Ball On"/>
        <s v="Swahili Scramble"/>
        <s v="The Home Stretch"/>
        <s v="Push Me, Pull You"/>
        <s v="The Maze"/>
        <s v="Box Your Mind"/>
        <s v="Fire And Water"/>
        <s v="Pole Dancing"/>
        <s v="Step On Up"/>
        <s v="Uncomfortably Numb"/>
        <s v="The Obstacle Course"/>
        <s v="Chimney Sweep"/>
        <s v="Vertigo"/>
        <s v="Can't Buoy Me Love"/>
        <s v="Hanging By A Thread"/>
        <s v="House Of The Holey"/>
        <s v="Mask Match"/>
        <s v="Nut Cracker"/>
        <s v="Over-Extended"/>
        <s v="Fast Fire"/>
        <s v="Witch Hunt"/>
        <s v="Race To Shore"/>
        <s v="Dizzy Miss Lizzy"/>
        <s v="Operation Balance Build"/>
        <s v="Perch"/>
        <s v="Squared Off"/>
        <s v="The Game Is Afoot"/>
        <s v="Buggin' Out"/>
        <s v="The Ball Drop"/>
        <s v="Bow Diddley"/>
        <s v="Simmotion"/>
        <s v="Get Barreled"/>
        <s v="Out On A Limb"/>
        <s v="Domino Effect"/>
        <s v="Hands On A Hard Idol"/>
        <s v="Dizzy Gillespie"/>
        <s v="Total Recall"/>
        <s v="Snake Island Relay"/>
        <s v="A Leg Up"/>
        <s v="Balancing Point"/>
        <s v="Bob-Bob Buoy"/>
        <s v="Do-It-Yourself Challenge"/>
        <s v="Eve 6"/>
        <s v="Hold Your Own"/>
        <s v="Holy Hell"/>
        <s v="Mayan Pizza"/>
        <s v="Memory"/>
        <s v="Might As Well Jump"/>
        <s v="On The Pull"/>
        <s v="Rusty Gates"/>
        <s v="Shooting Gallery"/>
        <s v="Well Stacked"/>
        <s v="Wrist Assured"/>
        <s v="Get A Grip"/>
        <s v="House Of Cards"/>
        <s v="Keep On Your Toes"/>
        <s v="Sea Legs"/>
        <s v="Pot Head"/>
        <s v="Vampire Bats"/>
        <s v="Crocodile Rock"/>
        <s v="Q And A"/>
        <s v="Survivor Quiz Show"/>
        <s v="Gimme Three Steps"/>
        <s v="Ballin' A Jack"/>
        <s v="Cube Crisis"/>
        <s v="Fire Fighter"/>
        <s v="Shoot 'n' Shuffle"/>
        <s v="Stacked Up"/>
        <s v="Kitty Litter"/>
        <s v="Will Power"/>
        <s v="Will It Go Round"/>
        <s v="Splash Back"/>
        <s v="When It Rains, It Pours"/>
        <s v="Planks A Lot"/>
        <s v="You Shook Me"/>
        <s v="Fallen Comrades"/>
        <s v="This Much"/>
        <s v="Squatty Probst"/>
        <s v="Bone To Pick"/>
        <s v="Broken China"/>
        <s v="Ring Leader"/>
        <s v="Walk The Plank"/>
      </sharedItems>
    </cacheField>
    <cacheField name="Type Of Challenge (Endurance, Memory, Quiz, Race, Rounds)" numFmtId="0">
      <sharedItems count="6">
        <s v="Race"/>
        <s v="Memory"/>
        <s v="Rounds"/>
        <s v="Endurance"/>
        <s v="Quiz"/>
        <s v="Race, Rounds"/>
      </sharedItems>
    </cacheField>
    <cacheField name="% Male Winners" numFmtId="9">
      <sharedItems containsSemiMixedTypes="0" containsString="0" containsNumber="1" minValue="0" maxValue="1"/>
    </cacheField>
    <cacheField name="% Female Winners"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n v="9"/>
    <n v="15"/>
    <n v="4"/>
    <n v="5"/>
    <n v="0"/>
    <n v="5"/>
    <n v="0.55555555555555558"/>
    <n v="44"/>
    <s v="M"/>
  </r>
  <r>
    <x v="1"/>
    <n v="10"/>
    <n v="15"/>
    <n v="4"/>
    <n v="6"/>
    <n v="0"/>
    <n v="6"/>
    <n v="0.6"/>
    <n v="43"/>
    <s v="M"/>
  </r>
  <r>
    <x v="2"/>
    <n v="12"/>
    <n v="14"/>
    <n v="3"/>
    <n v="8"/>
    <n v="1"/>
    <n v="7"/>
    <n v="0.66666666666666663"/>
    <n v="41"/>
    <s v="F"/>
  </r>
  <r>
    <x v="3"/>
    <n v="6"/>
    <n v="12"/>
    <n v="1"/>
    <n v="5"/>
    <n v="0"/>
    <n v="4"/>
    <n v="0.66666666666666663"/>
    <n v="41"/>
    <s v="F"/>
  </r>
  <r>
    <x v="4"/>
    <n v="10"/>
    <n v="12"/>
    <n v="1"/>
    <n v="9"/>
    <n v="0"/>
    <n v="7"/>
    <n v="0.7"/>
    <n v="40"/>
    <s v="M"/>
  </r>
  <r>
    <x v="5"/>
    <n v="12"/>
    <n v="15"/>
    <n v="3.5"/>
    <n v="8.5"/>
    <n v="0"/>
    <n v="8.5"/>
    <n v="0.70833333333333337"/>
    <n v="39"/>
    <s v="M"/>
  </r>
  <r>
    <x v="6"/>
    <n v="11"/>
    <n v="16"/>
    <n v="3"/>
    <n v="8"/>
    <n v="0"/>
    <n v="8"/>
    <n v="0.72727272727272729"/>
    <n v="38"/>
    <s v="M"/>
  </r>
  <r>
    <x v="7"/>
    <n v="12"/>
    <n v="17"/>
    <n v="3"/>
    <n v="9"/>
    <n v="0"/>
    <n v="9"/>
    <n v="0.75"/>
    <n v="35"/>
    <s v="F"/>
  </r>
  <r>
    <x v="8"/>
    <n v="12"/>
    <n v="14"/>
    <n v="3"/>
    <n v="9"/>
    <n v="0"/>
    <n v="9"/>
    <n v="0.75"/>
    <n v="35"/>
    <s v="M"/>
  </r>
  <r>
    <x v="9"/>
    <n v="12"/>
    <n v="18"/>
    <n v="2"/>
    <n v="10"/>
    <n v="0"/>
    <n v="9"/>
    <n v="0.75"/>
    <n v="35"/>
    <s v="M"/>
  </r>
  <r>
    <x v="10"/>
    <n v="9"/>
    <n v="13"/>
    <n v="1"/>
    <n v="7"/>
    <n v="1"/>
    <n v="6"/>
    <n v="0.77777777777777779"/>
    <n v="31"/>
    <s v="M"/>
  </r>
  <r>
    <x v="11"/>
    <n v="9"/>
    <n v="14"/>
    <n v="3"/>
    <n v="6"/>
    <n v="0"/>
    <n v="7"/>
    <n v="0.77777777777777779"/>
    <n v="31"/>
    <s v="F"/>
  </r>
  <r>
    <x v="12"/>
    <n v="9"/>
    <n v="14"/>
    <n v="3"/>
    <n v="6"/>
    <n v="0"/>
    <n v="7"/>
    <n v="0.77777777777777779"/>
    <n v="31"/>
    <s v="M"/>
  </r>
  <r>
    <x v="13"/>
    <n v="9"/>
    <n v="16"/>
    <n v="1"/>
    <n v="8"/>
    <n v="0"/>
    <n v="7"/>
    <n v="0.77777777777777779"/>
    <n v="31"/>
    <s v="M"/>
  </r>
  <r>
    <x v="14"/>
    <n v="14"/>
    <n v="14"/>
    <n v="1"/>
    <n v="13"/>
    <n v="0"/>
    <n v="11"/>
    <n v="0.7857142857142857"/>
    <n v="30"/>
    <s v="F"/>
  </r>
  <r>
    <x v="15"/>
    <n v="5"/>
    <n v="16"/>
    <n v="3"/>
    <n v="2"/>
    <n v="0"/>
    <n v="4"/>
    <n v="0.8"/>
    <n v="29"/>
    <s v="M"/>
  </r>
  <r>
    <x v="16"/>
    <n v="11"/>
    <n v="14"/>
    <n v="2"/>
    <n v="9"/>
    <n v="0"/>
    <n v="9"/>
    <n v="0.81818181818181823"/>
    <n v="26"/>
    <s v="F"/>
  </r>
  <r>
    <x v="17"/>
    <n v="11"/>
    <n v="13"/>
    <n v="2"/>
    <n v="9"/>
    <n v="0"/>
    <n v="9"/>
    <n v="0.81818181818181823"/>
    <n v="26"/>
    <s v="M"/>
  </r>
  <r>
    <x v="18"/>
    <n v="11"/>
    <n v="15"/>
    <n v="3"/>
    <n v="8"/>
    <n v="0"/>
    <n v="9"/>
    <n v="0.81818181818181823"/>
    <n v="26"/>
    <s v="M"/>
  </r>
  <r>
    <x v="19"/>
    <n v="12"/>
    <n v="15"/>
    <n v="2"/>
    <n v="9"/>
    <n v="1"/>
    <n v="9"/>
    <n v="0.83333333333333337"/>
    <n v="21"/>
    <s v="F"/>
  </r>
  <r>
    <x v="20"/>
    <n v="12"/>
    <n v="16"/>
    <n v="2"/>
    <n v="10"/>
    <n v="0"/>
    <n v="10"/>
    <n v="0.83333333333333337"/>
    <n v="21"/>
    <s v="F"/>
  </r>
  <r>
    <x v="21"/>
    <n v="12"/>
    <n v="17"/>
    <n v="2"/>
    <n v="10"/>
    <n v="0"/>
    <n v="10"/>
    <n v="0.83333333333333337"/>
    <n v="21"/>
    <s v="F"/>
  </r>
  <r>
    <x v="22"/>
    <n v="12"/>
    <n v="17"/>
    <n v="2"/>
    <n v="10"/>
    <n v="0"/>
    <n v="10"/>
    <n v="0.83333333333333337"/>
    <n v="21"/>
    <s v="M"/>
  </r>
  <r>
    <x v="23"/>
    <n v="12"/>
    <n v="16"/>
    <n v="2"/>
    <n v="10"/>
    <n v="0"/>
    <n v="10"/>
    <n v="0.83333333333333337"/>
    <n v="21"/>
    <s v="M"/>
  </r>
  <r>
    <x v="24"/>
    <n v="13"/>
    <n v="17"/>
    <n v="2"/>
    <n v="11"/>
    <n v="0"/>
    <n v="11"/>
    <n v="0.84615384615384615"/>
    <n v="20"/>
    <s v="F"/>
  </r>
  <r>
    <x v="25"/>
    <n v="7"/>
    <n v="15"/>
    <n v="0"/>
    <n v="7"/>
    <n v="0"/>
    <n v="6"/>
    <n v="0.8571428571428571"/>
    <n v="19"/>
    <s v="M"/>
  </r>
  <r>
    <x v="26"/>
    <n v="8"/>
    <n v="13"/>
    <n v="1"/>
    <n v="7"/>
    <n v="0"/>
    <n v="7"/>
    <n v="0.875"/>
    <n v="18"/>
    <s v="F"/>
  </r>
  <r>
    <x v="27"/>
    <n v="9"/>
    <n v="14"/>
    <n v="2"/>
    <n v="7"/>
    <n v="0"/>
    <n v="8"/>
    <n v="0.88888888888888884"/>
    <n v="15"/>
    <s v="M"/>
  </r>
  <r>
    <x v="28"/>
    <n v="9"/>
    <n v="14"/>
    <n v="1"/>
    <n v="8"/>
    <n v="0"/>
    <n v="8"/>
    <n v="0.88888888888888884"/>
    <n v="15"/>
    <s v="M"/>
  </r>
  <r>
    <x v="29"/>
    <n v="9"/>
    <n v="15"/>
    <n v="1"/>
    <n v="8"/>
    <n v="0"/>
    <n v="8"/>
    <n v="0.88888888888888884"/>
    <n v="15"/>
    <s v="M"/>
  </r>
  <r>
    <x v="30"/>
    <n v="10"/>
    <n v="13"/>
    <n v="1"/>
    <n v="9"/>
    <n v="0"/>
    <n v="9"/>
    <n v="0.9"/>
    <n v="14"/>
    <s v="F"/>
  </r>
  <r>
    <x v="31"/>
    <n v="11"/>
    <n v="14"/>
    <n v="1"/>
    <n v="9"/>
    <n v="1"/>
    <n v="9"/>
    <n v="0.90909090909090906"/>
    <n v="12"/>
    <s v="M"/>
  </r>
  <r>
    <x v="32"/>
    <n v="11"/>
    <n v="18"/>
    <n v="1"/>
    <n v="10"/>
    <n v="0"/>
    <n v="10"/>
    <n v="0.90909090909090906"/>
    <n v="12"/>
    <s v="M"/>
  </r>
  <r>
    <x v="33"/>
    <n v="13"/>
    <n v="17"/>
    <n v="1"/>
    <n v="12"/>
    <n v="0"/>
    <n v="12"/>
    <n v="0.92307692307692313"/>
    <n v="11"/>
    <s v="M"/>
  </r>
  <r>
    <x v="34"/>
    <n v="7"/>
    <n v="15"/>
    <n v="0"/>
    <n v="7"/>
    <n v="0"/>
    <n v="6.5"/>
    <n v="0.9285714285714286"/>
    <n v="10"/>
    <s v="F"/>
  </r>
  <r>
    <x v="35"/>
    <n v="9"/>
    <n v="15"/>
    <n v="0"/>
    <n v="8"/>
    <n v="1"/>
    <n v="8"/>
    <n v="1"/>
    <n v="1"/>
    <s v="F"/>
  </r>
  <r>
    <x v="36"/>
    <n v="9"/>
    <n v="15"/>
    <n v="1"/>
    <n v="7"/>
    <n v="1"/>
    <n v="8"/>
    <n v="1"/>
    <n v="1"/>
    <s v="F"/>
  </r>
  <r>
    <x v="37"/>
    <n v="10"/>
    <n v="15"/>
    <n v="0"/>
    <n v="9"/>
    <n v="1"/>
    <n v="9"/>
    <n v="1"/>
    <n v="1"/>
    <s v="M"/>
  </r>
  <r>
    <x v="38"/>
    <n v="11"/>
    <n v="13"/>
    <n v="0"/>
    <n v="10"/>
    <n v="1"/>
    <n v="10"/>
    <n v="1"/>
    <n v="1"/>
    <s v="F"/>
  </r>
  <r>
    <x v="39"/>
    <n v="11"/>
    <n v="14"/>
    <n v="0"/>
    <n v="10"/>
    <n v="1"/>
    <n v="10"/>
    <n v="1"/>
    <n v="1"/>
    <s v="M"/>
  </r>
  <r>
    <x v="40"/>
    <n v="14"/>
    <n v="15"/>
    <n v="1"/>
    <n v="13"/>
    <n v="0"/>
    <n v="14"/>
    <n v="1"/>
    <n v="1"/>
    <s v="F"/>
  </r>
  <r>
    <x v="41"/>
    <n v="9"/>
    <n v="14"/>
    <n v="0"/>
    <n v="9"/>
    <n v="0"/>
    <n v="9"/>
    <n v="1"/>
    <n v="1"/>
    <s v="M"/>
  </r>
  <r>
    <x v="42"/>
    <n v="9"/>
    <n v="13"/>
    <n v="0"/>
    <n v="9"/>
    <n v="0"/>
    <n v="9"/>
    <n v="1"/>
    <n v="1"/>
    <s v="M"/>
  </r>
  <r>
    <x v="43"/>
    <n v="9"/>
    <n v="17"/>
    <n v="0"/>
    <n v="9"/>
    <n v="0"/>
    <n v="9"/>
    <n v="1"/>
    <n v="1"/>
    <s v="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12"/>
    <x v="0"/>
    <x v="0"/>
    <n v="7.6666666666666652"/>
    <n v="6"/>
  </r>
  <r>
    <x v="1"/>
    <n v="27"/>
    <x v="1"/>
    <x v="1"/>
    <n v="6.1851851851851851"/>
    <n v="1"/>
  </r>
  <r>
    <x v="2"/>
    <n v="31"/>
    <x v="2"/>
    <x v="2"/>
    <n v="6.3933333333333326"/>
    <n v="3"/>
  </r>
  <r>
    <x v="3"/>
    <n v="20"/>
    <x v="3"/>
    <x v="3"/>
    <n v="7.1416666666666657"/>
    <n v="5"/>
  </r>
  <r>
    <x v="4"/>
    <n v="11"/>
    <x v="4"/>
    <x v="4"/>
    <n v="6.3766233766233773"/>
    <n v="2"/>
  </r>
  <r>
    <x v="5"/>
    <n v="3"/>
    <x v="5"/>
    <x v="5"/>
    <n v="7.083333333333333"/>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
  <r>
    <x v="0"/>
    <n v="22"/>
    <n v="3"/>
    <s v="Stephanie Valencia - 14th"/>
    <s v="Russell Hantz - 17th"/>
    <n v="15.333333333333334"/>
    <n v="104"/>
  </r>
  <r>
    <x v="1"/>
    <n v="16"/>
    <n v="3"/>
    <s v="Tracy Hughes-Wolf - 12th"/>
    <s v="Chet Welch - 14th"/>
    <n v="13"/>
    <n v="102"/>
  </r>
  <r>
    <x v="2"/>
    <n v="21"/>
    <n v="3"/>
    <s v="Dan Lembo - 5th"/>
    <s v="Jill Behm - 13th"/>
    <n v="9.6666666666666661"/>
    <n v="90"/>
  </r>
  <r>
    <x v="3"/>
    <n v="41"/>
    <n v="3"/>
    <s v="Liana Wallace - 7th"/>
    <s v="Tiffany Seely - 11th"/>
    <n v="9"/>
    <n v="85"/>
  </r>
  <r>
    <x v="4"/>
    <n v="25"/>
    <n v="3"/>
    <s v="Carter Williams - 6th"/>
    <s v="Jeff Kent - 10th"/>
    <n v="7.666666666666667"/>
    <n v="72"/>
  </r>
  <r>
    <x v="5"/>
    <n v="1"/>
    <n v="3"/>
    <s v="Colleen Haskell - 6th"/>
    <s v="Jenna Lewis - 8th"/>
    <n v="7"/>
    <n v="58"/>
  </r>
  <r>
    <x v="6"/>
    <n v="15"/>
    <n v="3"/>
    <s v="Peih-Gee Law - 5th"/>
    <s v="Jaime Dugan - 10th"/>
    <n v="7"/>
    <n v="58"/>
  </r>
  <r>
    <x v="7"/>
    <n v="25"/>
    <n v="3"/>
    <s v="Denise Stapley - 1st"/>
    <s v="Angie Layton - 16th"/>
    <n v="7"/>
    <n v="58"/>
  </r>
  <r>
    <x v="8"/>
    <n v="18"/>
    <n v="3"/>
    <s v="Coach Wade - 5th"/>
    <s v="Tyson Apostol - 8th"/>
    <n v="6.333333333333333"/>
    <n v="49"/>
  </r>
  <r>
    <x v="9"/>
    <n v="25"/>
    <n v="3"/>
    <s v="Michael Skupin/Lisa Whelchel - 2nd"/>
    <s v="RC Saint-Amour - 11th"/>
    <n v="5"/>
    <n v="35"/>
  </r>
  <r>
    <x v="10"/>
    <n v="44"/>
    <n v="3"/>
    <s v="Yam Yam Arocho - 1st"/>
    <s v="Carson Garrett - 4th"/>
    <n v="2.6666666666666665"/>
    <n v="5"/>
  </r>
  <r>
    <x v="11"/>
    <n v="18"/>
    <n v="3"/>
    <s v="J.T. Thomas - 1st"/>
    <s v="Taj Johnson-George - 4th"/>
    <n v="2.3333333333333335"/>
    <n v="1"/>
  </r>
  <r>
    <x v="12"/>
    <n v="24"/>
    <n v="4"/>
    <s v="Jay Byars - 10th"/>
    <s v="Matt Quinlan - 16th"/>
    <n v="13"/>
    <n v="102"/>
  </r>
  <r>
    <x v="13"/>
    <n v="3"/>
    <n v="4"/>
    <s v="Teresa Cooper - 5th"/>
    <s v="Carl Bilancione - 14th"/>
    <n v="9.75"/>
    <n v="91"/>
  </r>
  <r>
    <x v="14"/>
    <n v="3"/>
    <n v="4"/>
    <s v="Kim Powers - 6th"/>
    <s v="Silas Gaither - 12th"/>
    <n v="9.25"/>
    <n v="87"/>
  </r>
  <r>
    <x v="15"/>
    <n v="11"/>
    <n v="4"/>
    <s v="Danni Boatwright - 1st"/>
    <s v="Blake Towsley - 14th"/>
    <n v="8.5"/>
    <n v="82"/>
  </r>
  <r>
    <x v="16"/>
    <n v="31"/>
    <n v="4"/>
    <s v="Kelley Wentworth - 4th"/>
    <s v="Kass McQuillen - 13th"/>
    <n v="8.5"/>
    <n v="82"/>
  </r>
  <r>
    <x v="17"/>
    <n v="8"/>
    <n v="4"/>
    <s v="Shii Ann Huang - 6th"/>
    <s v="Jerri Manthey - 10th"/>
    <n v="8.25"/>
    <n v="79"/>
  </r>
  <r>
    <x v="18"/>
    <n v="12"/>
    <n v="4"/>
    <s v="Terry Deitz - 3rd"/>
    <s v="Dan Barry - 11th"/>
    <n v="8.25"/>
    <n v="79"/>
  </r>
  <r>
    <x v="19"/>
    <n v="30"/>
    <n v="4"/>
    <s v="Will Sims II - 3rd"/>
    <s v="Hali Ford - 11th"/>
    <n v="8.25"/>
    <n v="79"/>
  </r>
  <r>
    <x v="20"/>
    <n v="43"/>
    <n v="4"/>
    <s v="Cassidy Clark - 2nd"/>
    <s v="Lindsay Carmine - 15th"/>
    <n v="8"/>
    <n v="75"/>
  </r>
  <r>
    <x v="21"/>
    <n v="4"/>
    <n v="4"/>
    <s v="Robert DeCanio - 6th"/>
    <s v="John Carroll - 9th"/>
    <n v="7.5"/>
    <n v="71"/>
  </r>
  <r>
    <x v="22"/>
    <n v="4"/>
    <n v="4"/>
    <s v="Vecepia Towery - 1st"/>
    <s v="Sarah Jones - 13th"/>
    <n v="7.25"/>
    <n v="67"/>
  </r>
  <r>
    <x v="23"/>
    <n v="44"/>
    <n v="4"/>
    <s v="Heidi Lagares-Greenblatt - 2nd"/>
    <s v="Matt Blankinship - 11th"/>
    <n v="7"/>
    <n v="58"/>
  </r>
  <r>
    <x v="24"/>
    <n v="43"/>
    <n v="4"/>
    <s v="Mike Gabler - 1st"/>
    <s v="Nneka Ejere - 16th"/>
    <n v="6.75"/>
    <n v="55"/>
  </r>
  <r>
    <x v="25"/>
    <n v="14"/>
    <n v="4"/>
    <s v="Dreamz Herd - 2nd"/>
    <s v="Edgardo Rivera - 9th"/>
    <n v="6.5"/>
    <n v="51"/>
  </r>
  <r>
    <x v="26"/>
    <n v="32"/>
    <n v="4"/>
    <s v="Tai Trang - 3rd"/>
    <s v="Scot Pollard - 8th"/>
    <n v="6"/>
    <n v="44"/>
  </r>
  <r>
    <x v="27"/>
    <n v="41"/>
    <n v="4"/>
    <s v="Deshawn Radden - 2nd"/>
    <s v="Shan Smith - 8th"/>
    <n v="5.75"/>
    <n v="42"/>
  </r>
  <r>
    <x v="28"/>
    <n v="18"/>
    <n v="4"/>
    <s v="Stephen Fishbach - 2nd"/>
    <s v="Brendan Synnott - 9th"/>
    <n v="5.5"/>
    <n v="39"/>
  </r>
  <r>
    <x v="29"/>
    <n v="35"/>
    <n v="4"/>
    <s v="Ben Driebergen - 1st"/>
    <s v="Lauren Rimmer - 7th"/>
    <n v="4.5"/>
    <n v="28"/>
  </r>
  <r>
    <x v="30"/>
    <n v="14"/>
    <n v="4"/>
    <s v="Earl Cole - 1st"/>
    <s v="Michelle Yi - 10th"/>
    <n v="4.25"/>
    <n v="25"/>
  </r>
  <r>
    <x v="31"/>
    <n v="20"/>
    <n v="4"/>
    <s v="Parvati Shallow - 2nd"/>
    <s v="Danielle DiLorenzo - 7th"/>
    <n v="4"/>
    <n v="18"/>
  </r>
  <r>
    <x v="32"/>
    <n v="42"/>
    <n v="4"/>
    <s v="Maryanne Oketch - 1st"/>
    <s v="Omar Zaheer - 6th"/>
    <n v="4"/>
    <n v="18"/>
  </r>
  <r>
    <x v="33"/>
    <n v="41"/>
    <n v="4"/>
    <s v="Erika Casupanan - 1st"/>
    <s v="Ricard Foye - 5th"/>
    <n v="3.25"/>
    <n v="12"/>
  </r>
  <r>
    <x v="34"/>
    <n v="19"/>
    <n v="4"/>
    <s v="Natalie White - 1st"/>
    <s v="Jaison Robinson - 5th"/>
    <n v="2.75"/>
    <n v="6"/>
  </r>
  <r>
    <x v="35"/>
    <n v="36"/>
    <n v="4"/>
    <s v="Wendell Holland - 1st"/>
    <s v="Donathan Hurley - 5th"/>
    <n v="2.75"/>
    <n v="6"/>
  </r>
  <r>
    <x v="36"/>
    <n v="1"/>
    <n v="4"/>
    <s v="Richard Hatch - 1st"/>
    <s v="Sue Hawk - 4th"/>
    <n v="2.5"/>
    <n v="2"/>
  </r>
  <r>
    <x v="37"/>
    <n v="9"/>
    <n v="4"/>
    <s v="Chris Daugherty - 1st"/>
    <s v="Eliza Orlins - 4th"/>
    <n v="2.5"/>
    <n v="2"/>
  </r>
  <r>
    <x v="38"/>
    <n v="13"/>
    <n v="4"/>
    <s v="Yul Kwon - 1st"/>
    <s v="Sundra Oakley - 4th"/>
    <n v="2.5"/>
    <n v="2"/>
  </r>
  <r>
    <x v="39"/>
    <n v="26"/>
    <n v="5"/>
    <s v="Eddie Fox - 4th"/>
    <s v="Allie Pohevitz - 19th"/>
    <n v="11.6"/>
    <n v="100"/>
  </r>
  <r>
    <x v="40"/>
    <n v="27"/>
    <n v="5"/>
    <s v="Hayden Moss - 7th"/>
    <s v="Brad Culpepper - 15th"/>
    <n v="11.2"/>
    <n v="96"/>
  </r>
  <r>
    <x v="41"/>
    <n v="29"/>
    <n v="5"/>
    <s v="Alec Christy - 7th"/>
    <s v="John Rocker - 16th"/>
    <n v="11.2"/>
    <n v="96"/>
  </r>
  <r>
    <x v="42"/>
    <n v="39"/>
    <n v="5"/>
    <s v="Elaine Stott - 7th"/>
    <s v="Chelsea Walker - 17th"/>
    <n v="10.199999999999999"/>
    <n v="94"/>
  </r>
  <r>
    <x v="43"/>
    <n v="24"/>
    <n v="5"/>
    <s v="Tarzan Smith - 6th"/>
    <s v="Colton Cumbie - 13th"/>
    <n v="9.6"/>
    <n v="89"/>
  </r>
  <r>
    <x v="44"/>
    <n v="35"/>
    <n v="5"/>
    <s v="Mike Zahalsky - 5th"/>
    <s v="Jessica Johnston - 12th"/>
    <n v="9.1999999999999993"/>
    <n v="86"/>
  </r>
  <r>
    <x v="45"/>
    <n v="44"/>
    <n v="5"/>
    <s v="Lauren Harpe - 5th"/>
    <s v="Matthew Grinstead-Mayle - 13th"/>
    <n v="8.6"/>
    <n v="84"/>
  </r>
  <r>
    <x v="46"/>
    <n v="7"/>
    <n v="5"/>
    <s v="Darrah Johnson - 4th"/>
    <s v="Osten Taylor - 11th"/>
    <n v="8.1999999999999993"/>
    <n v="77"/>
  </r>
  <r>
    <x v="47"/>
    <n v="9"/>
    <n v="5"/>
    <s v="Chris Daugherty - 1st"/>
    <s v="Travis Sampson - 13th"/>
    <n v="8.1999999999999993"/>
    <n v="77"/>
  </r>
  <r>
    <x v="48"/>
    <n v="5"/>
    <n v="5"/>
    <s v="Jake Billingsley - 6th"/>
    <s v="Shii Ann Huang - 10th"/>
    <n v="8"/>
    <n v="75"/>
  </r>
  <r>
    <x v="49"/>
    <n v="2"/>
    <n v="5"/>
    <s v="Elisabeth Filsarki - 4th"/>
    <s v="Jeff Varner - 10th"/>
    <n v="7"/>
    <n v="58"/>
  </r>
  <r>
    <x v="50"/>
    <n v="13"/>
    <n v="5"/>
    <s v="Adam Gentry - 5th"/>
    <s v="Nate Gonzalez - 9th"/>
    <n v="7"/>
    <n v="58"/>
  </r>
  <r>
    <x v="51"/>
    <n v="33"/>
    <n v="5"/>
    <s v="Bret LaBelle - 5th"/>
    <s v="Zeke Smith - 9th"/>
    <n v="7"/>
    <n v="58"/>
  </r>
  <r>
    <x v="52"/>
    <n v="21"/>
    <n v="5"/>
    <s v="Chase Rice - 2nd"/>
    <s v="Brenda Lowe - 10th"/>
    <n v="6.4"/>
    <n v="50"/>
  </r>
  <r>
    <x v="53"/>
    <n v="7"/>
    <n v="5"/>
    <s v="Sandra Diaz-Twine - 1st"/>
    <s v="Trish Dunn - 13th"/>
    <n v="6.2"/>
    <n v="46"/>
  </r>
  <r>
    <x v="54"/>
    <n v="37"/>
    <n v="5"/>
    <s v="Nick Wilson - 1st"/>
    <s v="Carl Boudreaux - 9th"/>
    <n v="6.2"/>
    <n v="46"/>
  </r>
  <r>
    <x v="55"/>
    <n v="30"/>
    <n v="5"/>
    <s v="Mike Holloway - 1st"/>
    <s v="Kelly Remington - 12th"/>
    <n v="5.6"/>
    <n v="41"/>
  </r>
  <r>
    <x v="56"/>
    <n v="21"/>
    <n v="5"/>
    <s v="Chase Rice - 2nd"/>
    <s v="NaOnka Mixon - 9th"/>
    <n v="4.8"/>
    <n v="33"/>
  </r>
  <r>
    <x v="57"/>
    <n v="28"/>
    <n v="5"/>
    <s v="Tony Vlachos - 1st"/>
    <s v="LJ McKanas - 9th"/>
    <n v="4.8"/>
    <n v="33"/>
  </r>
  <r>
    <x v="58"/>
    <n v="16"/>
    <n v="5"/>
    <s v="Parvati Shallow - 1st"/>
    <s v="Ozzy Lusth - 9th"/>
    <n v="4.4000000000000004"/>
    <n v="27"/>
  </r>
  <r>
    <x v="59"/>
    <n v="7"/>
    <n v="5"/>
    <s v="Lillian Morris - 2nd"/>
    <s v="Tijuana Bradley - 7th"/>
    <n v="4.2"/>
    <n v="23"/>
  </r>
  <r>
    <x v="60"/>
    <n v="27"/>
    <n v="5"/>
    <s v="Tyson Apostol - 1st"/>
    <s v="Aras Baskauskas - 11th"/>
    <n v="4.2"/>
    <n v="23"/>
  </r>
  <r>
    <x v="61"/>
    <n v="2"/>
    <n v="5"/>
    <s v="Tina Wesson - 1st"/>
    <s v="Jerri Manthey - 8th"/>
    <n v="4"/>
    <n v="18"/>
  </r>
  <r>
    <x v="62"/>
    <n v="3"/>
    <n v="5"/>
    <s v="Ethan Zohn - 1st"/>
    <s v="Kelly Goldsmith - 9th"/>
    <n v="3.8"/>
    <n v="16"/>
  </r>
  <r>
    <x v="63"/>
    <n v="33"/>
    <n v="5"/>
    <s v="Adam Klein - 1st"/>
    <s v="Jessica Lewis - 10th"/>
    <n v="3.8"/>
    <n v="16"/>
  </r>
  <r>
    <x v="64"/>
    <n v="24"/>
    <n v="5"/>
    <s v="Kim Spradlin - 1st"/>
    <s v="Kat Edorsson - 7th"/>
    <n v="3.6"/>
    <n v="14"/>
  </r>
  <r>
    <x v="65"/>
    <n v="29"/>
    <n v="5"/>
    <s v="Natalie Anderson - 1st"/>
    <s v="Jon Misch - 6th"/>
    <n v="3.4"/>
    <n v="13"/>
  </r>
  <r>
    <x v="66"/>
    <n v="10"/>
    <n v="5"/>
    <s v="Tom Westman - 1st"/>
    <s v="Gregg Carey - 6th"/>
    <n v="3.2"/>
    <n v="10"/>
  </r>
  <r>
    <x v="67"/>
    <n v="16"/>
    <n v="5"/>
    <s v="Parvati Shallow - 1st"/>
    <s v="Alexis Jones - 6th"/>
    <n v="3.2"/>
    <n v="10"/>
  </r>
  <r>
    <x v="68"/>
    <n v="4"/>
    <n v="5"/>
    <s v="Vecepia Towery - 1st"/>
    <s v="Sean Rector - 5th"/>
    <n v="3"/>
    <n v="8"/>
  </r>
  <r>
    <x v="69"/>
    <n v="5"/>
    <n v="5"/>
    <s v="Brian Heidik - 1st"/>
    <s v="Ted Rogers, Jr - 5th"/>
    <n v="3"/>
    <n v="8"/>
  </r>
  <r>
    <x v="70"/>
    <n v="26"/>
    <n v="6"/>
    <s v="Sherri Biethman - 2nd"/>
    <s v="Shamar Thomas - 17th"/>
    <n v="12.166666666666666"/>
    <n v="101"/>
  </r>
  <r>
    <x v="71"/>
    <n v="33"/>
    <n v="6"/>
    <s v="Bret LaBelle - 5th"/>
    <s v="Paul Wachter - 18th"/>
    <n v="11.333333333333334"/>
    <n v="98"/>
  </r>
  <r>
    <x v="72"/>
    <n v="33"/>
    <n v="6"/>
    <s v="Jay Starrett - 6th"/>
    <s v="Figgy Figueroa - 15th"/>
    <n v="11.333333333333334"/>
    <n v="98"/>
  </r>
  <r>
    <x v="73"/>
    <n v="20"/>
    <n v="6"/>
    <s v="Rupert Boneham - 6th"/>
    <s v="Cirie Fields - 17th"/>
    <n v="10.666666666666666"/>
    <n v="95"/>
  </r>
  <r>
    <x v="74"/>
    <n v="22"/>
    <n v="6"/>
    <s v="Mike Chiesl - 6th"/>
    <s v="Sarita White - 13th"/>
    <n v="10.166666666666666"/>
    <n v="93"/>
  </r>
  <r>
    <x v="75"/>
    <n v="20"/>
    <n v="6"/>
    <s v="Sandra Diaz-Twine - 1st"/>
    <s v="Tyson Apostol - 15th"/>
    <n v="9.3333333333333339"/>
    <n v="88"/>
  </r>
  <r>
    <x v="76"/>
    <n v="38"/>
    <n v="6"/>
    <s v="Gavin Whitson - 2nd"/>
    <s v="Eric Hafemann - 13th"/>
    <n v="7.333333333333333"/>
    <n v="68"/>
  </r>
  <r>
    <x v="77"/>
    <n v="39"/>
    <n v="6"/>
    <s v="Tommy Sheehan - 1st"/>
    <s v="Jason Linden - 15th"/>
    <n v="7.333333333333333"/>
    <n v="68"/>
  </r>
  <r>
    <x v="78"/>
    <n v="28"/>
    <n v="6"/>
    <s v="Kass McQuillen - 3rd"/>
    <s v="Sarah Lacina - 11th"/>
    <n v="7"/>
    <n v="58"/>
  </r>
  <r>
    <x v="79"/>
    <n v="26"/>
    <n v="6"/>
    <s v="John Cochran"/>
    <s v="Corinne Kaplan - 12th"/>
    <n v="6.833333333333333"/>
    <n v="57"/>
  </r>
  <r>
    <x v="80"/>
    <n v="38"/>
    <n v="6"/>
    <s v="Chris Underwood - 1st"/>
    <s v="David Wright - 11th"/>
    <n v="6.666666666666667"/>
    <n v="53"/>
  </r>
  <r>
    <x v="81"/>
    <n v="25"/>
    <n v="6"/>
    <s v="Michael Skupin/Lisa Whelchel - 2nd"/>
    <s v="RC Saint-Amour - 11th"/>
    <n v="6.166666666666667"/>
    <n v="45"/>
  </r>
  <r>
    <x v="82"/>
    <n v="6"/>
    <n v="6"/>
    <s v="Matthew von Ertfelda - 2nd"/>
    <s v="Roger Sexton - 10th"/>
    <n v="5.833333333333333"/>
    <n v="43"/>
  </r>
  <r>
    <x v="83"/>
    <n v="34"/>
    <n v="6"/>
    <s v="Sarah Lacina - 1st"/>
    <s v="Debbie Wanner - 11th"/>
    <n v="5"/>
    <n v="35"/>
  </r>
  <r>
    <x v="84"/>
    <n v="11"/>
    <n v="6"/>
    <s v="Stephenie LaGrossa - 2nd"/>
    <s v="Jamie Newton - 8th"/>
    <n v="4.666666666666667"/>
    <n v="31"/>
  </r>
  <r>
    <x v="85"/>
    <n v="32"/>
    <n v="6"/>
    <s v="Michele Fitzgerald - 1st"/>
    <s v="Debbie Wanner - 9th"/>
    <n v="4.666666666666667"/>
    <n v="31"/>
  </r>
  <r>
    <x v="86"/>
    <n v="27"/>
    <n v="6"/>
    <s v="Tyson Apostol - 1st"/>
    <s v="Caleb Bankston - 9th"/>
    <n v="4.5"/>
    <n v="28"/>
  </r>
  <r>
    <x v="87"/>
    <n v="12"/>
    <n v="6"/>
    <s v="Aras Baskauskas - 1st"/>
    <s v="Bruce Kanegai - 7th"/>
    <n v="4.166666666666667"/>
    <n v="22"/>
  </r>
  <r>
    <x v="88"/>
    <n v="23"/>
    <n v="6"/>
    <s v="Sophie Clarke - 1st"/>
    <s v="Edna Ma - 7th"/>
    <n v="4"/>
    <n v="18"/>
  </r>
  <r>
    <x v="89"/>
    <n v="8"/>
    <n v="6"/>
    <s v="Amber Brkich - 1st"/>
    <s v="Alicia Calaway - 7th"/>
    <n v="3.6666666666666665"/>
    <n v="15"/>
  </r>
  <r>
    <x v="90"/>
    <n v="23"/>
    <n v="7"/>
    <s v="Ozzy Lusth - 4th"/>
    <s v="Elyse Umemoto - 15th"/>
    <n v="9.8571428571428577"/>
    <n v="92"/>
  </r>
  <r>
    <x v="91"/>
    <n v="19"/>
    <n v="7"/>
    <s v="Brett Clouser - 4th"/>
    <s v="Kelly Sharbaugh - 11th"/>
    <n v="7.8571428571428568"/>
    <n v="73"/>
  </r>
  <r>
    <x v="92"/>
    <n v="17"/>
    <n v="7"/>
    <s v="Bob Crowley - 1st"/>
    <s v="Susie Smith - 2nd"/>
    <n v="7.4285714285714288"/>
    <n v="70"/>
  </r>
  <r>
    <x v="93"/>
    <n v="34"/>
    <n v="7"/>
    <s v="Sarah Lacina - 1st"/>
    <s v="Ozzy Lusth - 12th"/>
    <n v="7"/>
    <n v="58"/>
  </r>
  <r>
    <x v="94"/>
    <n v="17"/>
    <n v="7"/>
    <s v="Susie Smith - 2nd"/>
    <s v="GC Brown - 14th"/>
    <n v="6.7142857142857144"/>
    <n v="54"/>
  </r>
  <r>
    <x v="95"/>
    <n v="31"/>
    <n v="7"/>
    <s v="Jeremy Collins - 1st"/>
    <s v="Andrew Savage - 12th"/>
    <n v="6.2857142857142856"/>
    <n v="48"/>
  </r>
  <r>
    <x v="96"/>
    <n v="9"/>
    <n v="7"/>
    <s v="Twila Tanner - 2nd"/>
    <s v="Lisa Keiffer - 12th"/>
    <n v="5.5714285714285712"/>
    <n v="40"/>
  </r>
  <r>
    <x v="97"/>
    <n v="6"/>
    <n v="7"/>
    <s v="Jenna Morasca - 1st"/>
    <s v="Shawna Mitchell - 11th"/>
    <n v="5.2857142857142856"/>
    <n v="37"/>
  </r>
  <r>
    <x v="98"/>
    <n v="15"/>
    <n v="7"/>
    <s v="Todd Herzog - 1st"/>
    <s v="Aaron Reisberger - 12th"/>
    <n v="5.2857142857142856"/>
    <n v="37"/>
  </r>
  <r>
    <x v="99"/>
    <n v="35"/>
    <n v="7"/>
    <s v="Ben Driebergen - 1st"/>
    <s v="JP Hilsabeck - 9th"/>
    <n v="4.5714285714285712"/>
    <n v="30"/>
  </r>
  <r>
    <x v="79"/>
    <n v="22"/>
    <n v="7"/>
    <s v="Rob Mariano - 1st"/>
    <s v="Grant Mattos - 8th"/>
    <n v="4.2857142857142856"/>
    <n v="26"/>
  </r>
  <r>
    <x v="100"/>
    <n v="37"/>
    <n v="8"/>
    <s v="Mike White - 2nd"/>
    <s v="Natalia Azoqa - 16th"/>
    <n v="7.875"/>
    <n v="74"/>
  </r>
  <r>
    <x v="101"/>
    <n v="42"/>
    <n v="8"/>
    <s v="Mike Turner - 2nd"/>
    <s v="Lydia Meredith - 12th"/>
    <n v="6.75"/>
    <n v="55"/>
  </r>
  <r>
    <x v="102"/>
    <n v="36"/>
    <n v="8"/>
    <s v="Wendell Holland - 1st"/>
    <s v="Bradley Kleihege - 14th"/>
    <n v="6.625"/>
    <n v="5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x v="0"/>
    <n v="17"/>
    <n v="17"/>
    <n v="9"/>
    <n v="7"/>
    <n v="1"/>
    <n v="14"/>
    <n v="3"/>
    <n v="0.82352941176470584"/>
    <n v="0.17647058823529413"/>
  </r>
  <r>
    <x v="1"/>
    <n v="15"/>
    <n v="15"/>
    <n v="1"/>
    <n v="14"/>
    <n v="0"/>
    <n v="12"/>
    <n v="3"/>
    <n v="0.8"/>
    <n v="0.2"/>
  </r>
  <r>
    <x v="2"/>
    <n v="14"/>
    <n v="16"/>
    <n v="3"/>
    <n v="11"/>
    <n v="0"/>
    <n v="10"/>
    <n v="6"/>
    <n v="0.625"/>
    <n v="0.375"/>
  </r>
  <r>
    <x v="3"/>
    <n v="14"/>
    <n v="15"/>
    <n v="0"/>
    <n v="13"/>
    <n v="1"/>
    <n v="6"/>
    <n v="9"/>
    <n v="0.4"/>
    <n v="0.6"/>
  </r>
  <r>
    <x v="4"/>
    <n v="13"/>
    <n v="14"/>
    <n v="4"/>
    <n v="9"/>
    <n v="0"/>
    <n v="11"/>
    <n v="3"/>
    <n v="0.7857142857142857"/>
    <n v="0.21428571428571427"/>
  </r>
  <r>
    <x v="5"/>
    <n v="13"/>
    <n v="13"/>
    <n v="1"/>
    <n v="10"/>
    <n v="2"/>
    <n v="7"/>
    <n v="6"/>
    <n v="0.53846153846153844"/>
    <n v="0.46153846153846156"/>
  </r>
  <r>
    <x v="6"/>
    <n v="12"/>
    <n v="12"/>
    <n v="2"/>
    <n v="10"/>
    <n v="0"/>
    <n v="9"/>
    <n v="3"/>
    <n v="0.75"/>
    <n v="0.25"/>
  </r>
  <r>
    <x v="7"/>
    <n v="12"/>
    <n v="13"/>
    <n v="0"/>
    <n v="12"/>
    <n v="0"/>
    <n v="6"/>
    <n v="7"/>
    <n v="0.46153846153846156"/>
    <n v="0.53846153846153844"/>
  </r>
  <r>
    <x v="8"/>
    <n v="12"/>
    <n v="12"/>
    <n v="11"/>
    <n v="1"/>
    <n v="0"/>
    <n v="4"/>
    <n v="8"/>
    <n v="0.33333333333333331"/>
    <n v="0.66666666666666663"/>
  </r>
  <r>
    <x v="9"/>
    <n v="12"/>
    <n v="12"/>
    <n v="0"/>
    <n v="12"/>
    <n v="0"/>
    <n v="9"/>
    <n v="3"/>
    <n v="0.75"/>
    <n v="0.25"/>
  </r>
  <r>
    <x v="10"/>
    <n v="12"/>
    <n v="12"/>
    <n v="5"/>
    <n v="7"/>
    <n v="0"/>
    <n v="4"/>
    <n v="8"/>
    <n v="0.33333333333333331"/>
    <n v="0.66666666666666663"/>
  </r>
  <r>
    <x v="11"/>
    <n v="11"/>
    <n v="11"/>
    <n v="2"/>
    <n v="9"/>
    <n v="0"/>
    <n v="5"/>
    <n v="6"/>
    <n v="0.45454545454545453"/>
    <n v="0.54545454545454541"/>
  </r>
  <r>
    <x v="12"/>
    <n v="11"/>
    <n v="11"/>
    <n v="0"/>
    <n v="10"/>
    <n v="1"/>
    <n v="8"/>
    <n v="3"/>
    <n v="0.72727272727272729"/>
    <n v="0.27272727272727271"/>
  </r>
  <r>
    <x v="13"/>
    <n v="10"/>
    <n v="10"/>
    <n v="1"/>
    <n v="7"/>
    <n v="2"/>
    <n v="9"/>
    <n v="1"/>
    <n v="0.9"/>
    <n v="0.1"/>
  </r>
  <r>
    <x v="14"/>
    <n v="10"/>
    <n v="11"/>
    <n v="2"/>
    <n v="7"/>
    <n v="1"/>
    <n v="3"/>
    <n v="8"/>
    <n v="0.27272727272727271"/>
    <n v="0.72727272727272729"/>
  </r>
  <r>
    <x v="15"/>
    <n v="10"/>
    <n v="11"/>
    <n v="2"/>
    <n v="8"/>
    <n v="0"/>
    <n v="3"/>
    <n v="8"/>
    <n v="0.27272727272727271"/>
    <n v="0.72727272727272729"/>
  </r>
  <r>
    <x v="16"/>
    <n v="9"/>
    <n v="9"/>
    <n v="0"/>
    <n v="9"/>
    <n v="0"/>
    <n v="5"/>
    <n v="4"/>
    <n v="0.55555555555555558"/>
    <n v="0.44444444444444442"/>
  </r>
  <r>
    <x v="17"/>
    <n v="9"/>
    <n v="10"/>
    <n v="0"/>
    <n v="9"/>
    <n v="0"/>
    <n v="8"/>
    <n v="2"/>
    <n v="0.8"/>
    <n v="0.2"/>
  </r>
  <r>
    <x v="18"/>
    <n v="9"/>
    <n v="9"/>
    <n v="0"/>
    <n v="8"/>
    <n v="1"/>
    <n v="5"/>
    <n v="4"/>
    <n v="0.55555555555555558"/>
    <n v="0.44444444444444442"/>
  </r>
  <r>
    <x v="19"/>
    <n v="9"/>
    <n v="9"/>
    <n v="3"/>
    <n v="5"/>
    <n v="1"/>
    <n v="6"/>
    <n v="3"/>
    <n v="0.66666666666666663"/>
    <n v="0.33333333333333331"/>
  </r>
  <r>
    <x v="20"/>
    <n v="8"/>
    <n v="8"/>
    <n v="2"/>
    <n v="6"/>
    <n v="0"/>
    <n v="6"/>
    <n v="2"/>
    <n v="0.75"/>
    <n v="0.25"/>
  </r>
  <r>
    <x v="21"/>
    <n v="8"/>
    <n v="8"/>
    <n v="0"/>
    <n v="7"/>
    <n v="1"/>
    <n v="4"/>
    <n v="4"/>
    <n v="0.5"/>
    <n v="0.5"/>
  </r>
  <r>
    <x v="22"/>
    <n v="8"/>
    <n v="8"/>
    <n v="1"/>
    <n v="7"/>
    <n v="0"/>
    <n v="5"/>
    <n v="3"/>
    <n v="0.625"/>
    <n v="0.375"/>
  </r>
  <r>
    <x v="23"/>
    <n v="8"/>
    <n v="8"/>
    <n v="0"/>
    <n v="8"/>
    <n v="0"/>
    <n v="4"/>
    <n v="4"/>
    <n v="0.5"/>
    <n v="0.5"/>
  </r>
  <r>
    <x v="24"/>
    <n v="8"/>
    <n v="8"/>
    <n v="1"/>
    <n v="7"/>
    <n v="0"/>
    <n v="5"/>
    <n v="3"/>
    <n v="0.625"/>
    <n v="0.375"/>
  </r>
  <r>
    <x v="25"/>
    <n v="7"/>
    <n v="7"/>
    <n v="0"/>
    <n v="6"/>
    <n v="1"/>
    <n v="5"/>
    <n v="2"/>
    <n v="0.7142857142857143"/>
    <n v="0.2857142857142857"/>
  </r>
  <r>
    <x v="26"/>
    <n v="7"/>
    <n v="7"/>
    <n v="1"/>
    <n v="6"/>
    <n v="0"/>
    <n v="4"/>
    <n v="3"/>
    <n v="0.5714285714285714"/>
    <n v="0.42857142857142855"/>
  </r>
  <r>
    <x v="27"/>
    <n v="7"/>
    <n v="7"/>
    <n v="1"/>
    <n v="6"/>
    <n v="0"/>
    <n v="5"/>
    <n v="2"/>
    <n v="0.7142857142857143"/>
    <n v="0.2857142857142857"/>
  </r>
  <r>
    <x v="28"/>
    <n v="7"/>
    <n v="7"/>
    <n v="0"/>
    <n v="7"/>
    <n v="0"/>
    <n v="3"/>
    <n v="4"/>
    <n v="0.42857142857142855"/>
    <n v="0.5714285714285714"/>
  </r>
  <r>
    <x v="29"/>
    <n v="7"/>
    <n v="7"/>
    <n v="3"/>
    <n v="4"/>
    <n v="0"/>
    <n v="5"/>
    <n v="2"/>
    <n v="0.7142857142857143"/>
    <n v="0.2857142857142857"/>
  </r>
  <r>
    <x v="30"/>
    <n v="7"/>
    <n v="7"/>
    <n v="0"/>
    <n v="5"/>
    <n v="2"/>
    <n v="5"/>
    <n v="2"/>
    <n v="0.7142857142857143"/>
    <n v="0.2857142857142857"/>
  </r>
  <r>
    <x v="31"/>
    <n v="7"/>
    <n v="7"/>
    <n v="1"/>
    <n v="6"/>
    <n v="0"/>
    <n v="4"/>
    <n v="3"/>
    <n v="0.5714285714285714"/>
    <n v="0.42857142857142855"/>
  </r>
  <r>
    <x v="32"/>
    <n v="6"/>
    <n v="6"/>
    <n v="1"/>
    <n v="5"/>
    <n v="0"/>
    <n v="4"/>
    <n v="2"/>
    <n v="0.66666666666666663"/>
    <n v="0.33333333333333331"/>
  </r>
  <r>
    <x v="33"/>
    <n v="6"/>
    <n v="8"/>
    <n v="0"/>
    <n v="6"/>
    <n v="0"/>
    <n v="3"/>
    <n v="5"/>
    <n v="0.375"/>
    <n v="0.625"/>
  </r>
  <r>
    <x v="34"/>
    <n v="6"/>
    <n v="9"/>
    <n v="3"/>
    <n v="2"/>
    <n v="1"/>
    <n v="5"/>
    <n v="4"/>
    <n v="0.55555555555555558"/>
    <n v="0.44444444444444442"/>
  </r>
  <r>
    <x v="35"/>
    <n v="6"/>
    <n v="6"/>
    <n v="0"/>
    <n v="3"/>
    <n v="3"/>
    <n v="2"/>
    <n v="4"/>
    <n v="0.33333333333333331"/>
    <n v="0.66666666666666663"/>
  </r>
  <r>
    <x v="36"/>
    <n v="6"/>
    <n v="7"/>
    <n v="0"/>
    <n v="6"/>
    <n v="0"/>
    <n v="5"/>
    <n v="2"/>
    <n v="0.7142857142857143"/>
    <n v="0.2857142857142857"/>
  </r>
  <r>
    <x v="37"/>
    <n v="6"/>
    <n v="6"/>
    <n v="0"/>
    <n v="6"/>
    <n v="0"/>
    <n v="4"/>
    <n v="2"/>
    <n v="0.66666666666666663"/>
    <n v="0.33333333333333331"/>
  </r>
  <r>
    <x v="38"/>
    <n v="6"/>
    <n v="7"/>
    <n v="1"/>
    <n v="5"/>
    <n v="0"/>
    <n v="2"/>
    <n v="5"/>
    <n v="0.2857142857142857"/>
    <n v="0.7142857142857143"/>
  </r>
  <r>
    <x v="39"/>
    <n v="5"/>
    <n v="6"/>
    <n v="1"/>
    <n v="4"/>
    <n v="0"/>
    <n v="2"/>
    <n v="4"/>
    <n v="0.33333333333333331"/>
    <n v="0.66666666666666663"/>
  </r>
  <r>
    <x v="40"/>
    <n v="5"/>
    <n v="5"/>
    <n v="3"/>
    <n v="2"/>
    <n v="0"/>
    <n v="3"/>
    <n v="2"/>
    <n v="0.6"/>
    <n v="0.4"/>
  </r>
  <r>
    <x v="41"/>
    <n v="5"/>
    <n v="5"/>
    <n v="1"/>
    <n v="4"/>
    <n v="0"/>
    <n v="1"/>
    <n v="4"/>
    <n v="0.2"/>
    <n v="0.8"/>
  </r>
  <r>
    <x v="42"/>
    <n v="5"/>
    <n v="5"/>
    <n v="0"/>
    <n v="5"/>
    <n v="0"/>
    <n v="4"/>
    <n v="1"/>
    <n v="0.8"/>
    <n v="0.2"/>
  </r>
  <r>
    <x v="43"/>
    <n v="5"/>
    <n v="5"/>
    <n v="4"/>
    <n v="1"/>
    <n v="0"/>
    <n v="4"/>
    <n v="1"/>
    <n v="0.8"/>
    <n v="0.2"/>
  </r>
  <r>
    <x v="44"/>
    <n v="5"/>
    <n v="5"/>
    <n v="1"/>
    <n v="4"/>
    <n v="0"/>
    <n v="3"/>
    <n v="2"/>
    <n v="0.6"/>
    <n v="0.4"/>
  </r>
  <r>
    <x v="45"/>
    <n v="5"/>
    <n v="5"/>
    <n v="0"/>
    <n v="5"/>
    <n v="0"/>
    <n v="3"/>
    <n v="2"/>
    <n v="0.6"/>
    <n v="0.4"/>
  </r>
  <r>
    <x v="46"/>
    <n v="5"/>
    <n v="5"/>
    <n v="1"/>
    <n v="4"/>
    <n v="0"/>
    <n v="2"/>
    <n v="3"/>
    <n v="0.4"/>
    <n v="0.6"/>
  </r>
  <r>
    <x v="47"/>
    <n v="5"/>
    <n v="8"/>
    <n v="1"/>
    <n v="4"/>
    <n v="0"/>
    <n v="5"/>
    <n v="3"/>
    <n v="0.625"/>
    <n v="0.375"/>
  </r>
  <r>
    <x v="48"/>
    <n v="5"/>
    <n v="5"/>
    <n v="2"/>
    <n v="3"/>
    <n v="0"/>
    <n v="3"/>
    <n v="2"/>
    <n v="0.6"/>
    <n v="0.4"/>
  </r>
  <r>
    <x v="49"/>
    <n v="5"/>
    <n v="5"/>
    <n v="1"/>
    <n v="2"/>
    <n v="2"/>
    <n v="4"/>
    <n v="1"/>
    <n v="0.8"/>
    <n v="0.2"/>
  </r>
  <r>
    <x v="50"/>
    <n v="5"/>
    <n v="5"/>
    <n v="2"/>
    <n v="3"/>
    <n v="0"/>
    <n v="3"/>
    <n v="2"/>
    <n v="0.6"/>
    <n v="0.4"/>
  </r>
  <r>
    <x v="51"/>
    <n v="5"/>
    <n v="5"/>
    <n v="0"/>
    <n v="5"/>
    <n v="0"/>
    <n v="1"/>
    <n v="4"/>
    <n v="0.2"/>
    <n v="0.8"/>
  </r>
  <r>
    <x v="52"/>
    <n v="5"/>
    <n v="5"/>
    <n v="0"/>
    <n v="5"/>
    <n v="0"/>
    <n v="2"/>
    <n v="3"/>
    <n v="0.4"/>
    <n v="0.6"/>
  </r>
  <r>
    <x v="53"/>
    <n v="4"/>
    <n v="4"/>
    <n v="0"/>
    <n v="4"/>
    <n v="0"/>
    <n v="3"/>
    <n v="1"/>
    <n v="0.75"/>
    <n v="0.25"/>
  </r>
  <r>
    <x v="54"/>
    <n v="4"/>
    <n v="4"/>
    <n v="3"/>
    <n v="1"/>
    <n v="0"/>
    <n v="2"/>
    <n v="2"/>
    <n v="0.5"/>
    <n v="0.5"/>
  </r>
  <r>
    <x v="55"/>
    <n v="4"/>
    <n v="4"/>
    <n v="0"/>
    <n v="4"/>
    <n v="0"/>
    <n v="1"/>
    <n v="3"/>
    <n v="0.25"/>
    <n v="0.75"/>
  </r>
  <r>
    <x v="56"/>
    <n v="4"/>
    <n v="4"/>
    <n v="0"/>
    <n v="2"/>
    <n v="2"/>
    <n v="3"/>
    <n v="1"/>
    <n v="0.75"/>
    <n v="0.25"/>
  </r>
  <r>
    <x v="57"/>
    <n v="4"/>
    <n v="4"/>
    <n v="1"/>
    <n v="3"/>
    <n v="0"/>
    <n v="4"/>
    <n v="0"/>
    <n v="1"/>
    <n v="0"/>
  </r>
  <r>
    <x v="58"/>
    <n v="4"/>
    <n v="4"/>
    <n v="0"/>
    <n v="3"/>
    <n v="1"/>
    <n v="0"/>
    <n v="4"/>
    <n v="0"/>
    <n v="1"/>
  </r>
  <r>
    <x v="59"/>
    <n v="4"/>
    <n v="4"/>
    <n v="1"/>
    <n v="2"/>
    <n v="1"/>
    <n v="4"/>
    <n v="0"/>
    <n v="1"/>
    <n v="0"/>
  </r>
  <r>
    <x v="60"/>
    <n v="4"/>
    <n v="4"/>
    <n v="2"/>
    <n v="2"/>
    <n v="0"/>
    <n v="3"/>
    <n v="1"/>
    <n v="0.75"/>
    <n v="0.25"/>
  </r>
  <r>
    <x v="61"/>
    <n v="4"/>
    <n v="4"/>
    <n v="2"/>
    <n v="2"/>
    <n v="0"/>
    <n v="3"/>
    <n v="1"/>
    <n v="0.75"/>
    <n v="0.25"/>
  </r>
  <r>
    <x v="62"/>
    <n v="4"/>
    <n v="4"/>
    <n v="1"/>
    <n v="3"/>
    <n v="0"/>
    <n v="2"/>
    <n v="2"/>
    <n v="0.5"/>
    <n v="0.5"/>
  </r>
  <r>
    <x v="63"/>
    <n v="4"/>
    <n v="4"/>
    <n v="1"/>
    <n v="3"/>
    <n v="0"/>
    <n v="1"/>
    <n v="3"/>
    <n v="0.25"/>
    <n v="0.75"/>
  </r>
  <r>
    <x v="64"/>
    <n v="3"/>
    <n v="3"/>
    <n v="2"/>
    <n v="1"/>
    <n v="0"/>
    <n v="3"/>
    <n v="0"/>
    <n v="1"/>
    <n v="0"/>
  </r>
  <r>
    <x v="65"/>
    <n v="3"/>
    <n v="3"/>
    <n v="0"/>
    <n v="3"/>
    <n v="0"/>
    <n v="2"/>
    <n v="1"/>
    <n v="0.66666666666666663"/>
    <n v="0.33333333333333331"/>
  </r>
  <r>
    <x v="66"/>
    <n v="3"/>
    <n v="3"/>
    <n v="1"/>
    <n v="2"/>
    <n v="0"/>
    <n v="3"/>
    <n v="0"/>
    <n v="1"/>
    <n v="0"/>
  </r>
  <r>
    <x v="67"/>
    <n v="3"/>
    <n v="3"/>
    <n v="1"/>
    <n v="2"/>
    <n v="0"/>
    <n v="1"/>
    <n v="2"/>
    <n v="0.33333333333333331"/>
    <n v="0.66666666666666663"/>
  </r>
  <r>
    <x v="68"/>
    <n v="3"/>
    <n v="3"/>
    <n v="3"/>
    <n v="0"/>
    <n v="0"/>
    <n v="1"/>
    <n v="2"/>
    <n v="0.33333333333333331"/>
    <n v="0.66666666666666663"/>
  </r>
  <r>
    <x v="69"/>
    <n v="3"/>
    <n v="3"/>
    <n v="0"/>
    <n v="3"/>
    <n v="0"/>
    <n v="2"/>
    <n v="1"/>
    <n v="0.66666666666666663"/>
    <n v="0.33333333333333331"/>
  </r>
  <r>
    <x v="70"/>
    <n v="3"/>
    <n v="3"/>
    <n v="0"/>
    <n v="2"/>
    <n v="1"/>
    <n v="2"/>
    <n v="1"/>
    <n v="0.66666666666666663"/>
    <n v="0.33333333333333331"/>
  </r>
  <r>
    <x v="71"/>
    <n v="3"/>
    <n v="3"/>
    <n v="0"/>
    <n v="3"/>
    <n v="0"/>
    <n v="3"/>
    <n v="0"/>
    <n v="1"/>
    <n v="0"/>
  </r>
  <r>
    <x v="72"/>
    <n v="3"/>
    <n v="3"/>
    <n v="2"/>
    <n v="1"/>
    <n v="0"/>
    <n v="3"/>
    <n v="0"/>
    <n v="1"/>
    <n v="0"/>
  </r>
  <r>
    <x v="73"/>
    <n v="3"/>
    <n v="3"/>
    <n v="1"/>
    <n v="1"/>
    <n v="1"/>
    <n v="3"/>
    <n v="0"/>
    <n v="1"/>
    <n v="0"/>
  </r>
  <r>
    <x v="74"/>
    <n v="3"/>
    <n v="3"/>
    <n v="0"/>
    <n v="3"/>
    <n v="0"/>
    <n v="2"/>
    <n v="1"/>
    <n v="0.66666666666666663"/>
    <n v="0.33333333333333331"/>
  </r>
  <r>
    <x v="75"/>
    <n v="3"/>
    <n v="3"/>
    <n v="1"/>
    <n v="1"/>
    <n v="1"/>
    <n v="3"/>
    <n v="0"/>
    <n v="1"/>
    <n v="0"/>
  </r>
  <r>
    <x v="76"/>
    <n v="3"/>
    <n v="4"/>
    <n v="1"/>
    <n v="2"/>
    <n v="0"/>
    <n v="3"/>
    <n v="1"/>
    <n v="0.75"/>
    <n v="0.25"/>
  </r>
  <r>
    <x v="77"/>
    <n v="3"/>
    <n v="3"/>
    <n v="1"/>
    <n v="2"/>
    <n v="0"/>
    <n v="3"/>
    <n v="0"/>
    <n v="1"/>
    <n v="0"/>
  </r>
  <r>
    <x v="78"/>
    <n v="3"/>
    <n v="3"/>
    <n v="3"/>
    <n v="0"/>
    <n v="0"/>
    <n v="3"/>
    <n v="0"/>
    <n v="1"/>
    <n v="0"/>
  </r>
  <r>
    <x v="79"/>
    <n v="3"/>
    <n v="3"/>
    <n v="0"/>
    <n v="3"/>
    <n v="0"/>
    <n v="1"/>
    <n v="2"/>
    <n v="0.33333333333333331"/>
    <n v="0.66666666666666663"/>
  </r>
  <r>
    <x v="80"/>
    <n v="3"/>
    <n v="3"/>
    <n v="0"/>
    <n v="3"/>
    <n v="0"/>
    <n v="3"/>
    <n v="0"/>
    <n v="1"/>
    <n v="0"/>
  </r>
  <r>
    <x v="81"/>
    <n v="3"/>
    <n v="4"/>
    <n v="0"/>
    <n v="3"/>
    <n v="0"/>
    <n v="2"/>
    <n v="2"/>
    <n v="0.5"/>
    <n v="0.5"/>
  </r>
  <r>
    <x v="82"/>
    <n v="3"/>
    <n v="3"/>
    <n v="2"/>
    <n v="1"/>
    <n v="0"/>
    <n v="1"/>
    <n v="2"/>
    <n v="0.33333333333333331"/>
    <n v="0.66666666666666663"/>
  </r>
  <r>
    <x v="83"/>
    <n v="3"/>
    <n v="3"/>
    <n v="0"/>
    <n v="3"/>
    <n v="0"/>
    <n v="3"/>
    <n v="0"/>
    <n v="1"/>
    <n v="0"/>
  </r>
  <r>
    <x v="84"/>
    <n v="2"/>
    <n v="2"/>
    <n v="0"/>
    <n v="2"/>
    <n v="0"/>
    <n v="1"/>
    <n v="1"/>
    <n v="0.5"/>
    <n v="0.5"/>
  </r>
  <r>
    <x v="85"/>
    <n v="2"/>
    <n v="2"/>
    <n v="0"/>
    <n v="2"/>
    <n v="0"/>
    <n v="1"/>
    <n v="1"/>
    <n v="0.5"/>
    <n v="0.5"/>
  </r>
  <r>
    <x v="86"/>
    <n v="2"/>
    <n v="2"/>
    <n v="0"/>
    <n v="2"/>
    <n v="0"/>
    <n v="1"/>
    <n v="1"/>
    <n v="0.5"/>
    <n v="0.5"/>
  </r>
  <r>
    <x v="87"/>
    <n v="2"/>
    <n v="2"/>
    <n v="0"/>
    <n v="1"/>
    <n v="1"/>
    <n v="0"/>
    <n v="2"/>
    <n v="0"/>
    <n v="1"/>
  </r>
  <r>
    <x v="88"/>
    <n v="2"/>
    <n v="2"/>
    <n v="0"/>
    <n v="2"/>
    <n v="0"/>
    <n v="0"/>
    <n v="2"/>
    <n v="0"/>
    <n v="1"/>
  </r>
  <r>
    <x v="89"/>
    <n v="2"/>
    <n v="2"/>
    <n v="1"/>
    <n v="1"/>
    <n v="0"/>
    <n v="2"/>
    <n v="0"/>
    <n v="1"/>
    <n v="0"/>
  </r>
  <r>
    <x v="90"/>
    <n v="2"/>
    <n v="2"/>
    <n v="1"/>
    <n v="1"/>
    <n v="0"/>
    <n v="2"/>
    <n v="0"/>
    <n v="1"/>
    <n v="0"/>
  </r>
  <r>
    <x v="91"/>
    <n v="2"/>
    <n v="2"/>
    <n v="0"/>
    <n v="2"/>
    <n v="0"/>
    <n v="2"/>
    <n v="0"/>
    <n v="1"/>
    <n v="0"/>
  </r>
  <r>
    <x v="92"/>
    <n v="2"/>
    <n v="2"/>
    <n v="0"/>
    <n v="2"/>
    <n v="0"/>
    <n v="1"/>
    <n v="1"/>
    <n v="0.5"/>
    <n v="0.5"/>
  </r>
  <r>
    <x v="93"/>
    <n v="2"/>
    <n v="2"/>
    <n v="0"/>
    <n v="2"/>
    <n v="0"/>
    <n v="2"/>
    <n v="0"/>
    <n v="1"/>
    <n v="0"/>
  </r>
  <r>
    <x v="94"/>
    <n v="2"/>
    <n v="2"/>
    <n v="1"/>
    <n v="1"/>
    <n v="0"/>
    <n v="2"/>
    <n v="0"/>
    <n v="1"/>
    <n v="0"/>
  </r>
  <r>
    <x v="95"/>
    <n v="2"/>
    <n v="2"/>
    <n v="0"/>
    <n v="2"/>
    <n v="0"/>
    <n v="1"/>
    <n v="1"/>
    <n v="0.5"/>
    <n v="0.5"/>
  </r>
  <r>
    <x v="96"/>
    <n v="2"/>
    <n v="2"/>
    <n v="0"/>
    <n v="2"/>
    <n v="0"/>
    <n v="1"/>
    <n v="1"/>
    <n v="0.5"/>
    <n v="0.5"/>
  </r>
  <r>
    <x v="97"/>
    <n v="2"/>
    <n v="2"/>
    <n v="0"/>
    <n v="2"/>
    <n v="0"/>
    <n v="1"/>
    <n v="1"/>
    <n v="0.5"/>
    <n v="0.5"/>
  </r>
  <r>
    <x v="98"/>
    <n v="2"/>
    <n v="2"/>
    <n v="1"/>
    <n v="1"/>
    <n v="0"/>
    <n v="2"/>
    <n v="0"/>
    <n v="1"/>
    <n v="0"/>
  </r>
  <r>
    <x v="99"/>
    <n v="2"/>
    <n v="3"/>
    <n v="1"/>
    <n v="1"/>
    <n v="0"/>
    <n v="1"/>
    <n v="2"/>
    <n v="0.33333333333333331"/>
    <n v="0.66666666666666663"/>
  </r>
  <r>
    <x v="100"/>
    <n v="2"/>
    <n v="2"/>
    <n v="2"/>
    <n v="0"/>
    <n v="0"/>
    <n v="2"/>
    <n v="0"/>
    <n v="1"/>
    <n v="0"/>
  </r>
  <r>
    <x v="101"/>
    <n v="2"/>
    <n v="2"/>
    <n v="1"/>
    <n v="1"/>
    <n v="0"/>
    <n v="2"/>
    <n v="0"/>
    <n v="1"/>
    <n v="0"/>
  </r>
  <r>
    <x v="102"/>
    <n v="2"/>
    <n v="2"/>
    <n v="1"/>
    <n v="1"/>
    <n v="0"/>
    <n v="1"/>
    <n v="1"/>
    <n v="0.5"/>
    <n v="0.5"/>
  </r>
  <r>
    <x v="103"/>
    <n v="2"/>
    <n v="2"/>
    <n v="1"/>
    <n v="1"/>
    <n v="0"/>
    <n v="1"/>
    <n v="1"/>
    <n v="0.5"/>
    <n v="0.5"/>
  </r>
  <r>
    <x v="104"/>
    <n v="2"/>
    <n v="2"/>
    <n v="0"/>
    <n v="2"/>
    <n v="0"/>
    <n v="1"/>
    <n v="1"/>
    <n v="0.5"/>
    <n v="0.5"/>
  </r>
  <r>
    <x v="105"/>
    <n v="2"/>
    <n v="2"/>
    <n v="1"/>
    <n v="1"/>
    <n v="0"/>
    <n v="2"/>
    <n v="0"/>
    <n v="1"/>
    <n v="0"/>
  </r>
  <r>
    <x v="106"/>
    <n v="2"/>
    <n v="2"/>
    <n v="1"/>
    <n v="0"/>
    <n v="1"/>
    <n v="2"/>
    <n v="0"/>
    <n v="1"/>
    <n v="0"/>
  </r>
  <r>
    <x v="107"/>
    <n v="2"/>
    <n v="3"/>
    <n v="1"/>
    <n v="1"/>
    <n v="0"/>
    <n v="2"/>
    <n v="1"/>
    <n v="0.66666666666666663"/>
    <n v="0.33333333333333331"/>
  </r>
  <r>
    <x v="108"/>
    <n v="2"/>
    <n v="2"/>
    <n v="0"/>
    <n v="2"/>
    <n v="0"/>
    <n v="1"/>
    <n v="1"/>
    <n v="0.5"/>
    <n v="0.5"/>
  </r>
  <r>
    <x v="109"/>
    <n v="2"/>
    <n v="2"/>
    <n v="0"/>
    <n v="2"/>
    <n v="0"/>
    <n v="2"/>
    <n v="0"/>
    <n v="1"/>
    <n v="0"/>
  </r>
  <r>
    <x v="110"/>
    <n v="2"/>
    <n v="2"/>
    <n v="1"/>
    <n v="1"/>
    <n v="0"/>
    <n v="0"/>
    <n v="2"/>
    <n v="0"/>
    <n v="1"/>
  </r>
  <r>
    <x v="111"/>
    <n v="2"/>
    <n v="2"/>
    <n v="0"/>
    <n v="2"/>
    <n v="0"/>
    <n v="1"/>
    <n v="1"/>
    <n v="0.5"/>
    <n v="0.5"/>
  </r>
  <r>
    <x v="112"/>
    <n v="2"/>
    <n v="2"/>
    <n v="1"/>
    <n v="1"/>
    <n v="0"/>
    <n v="1"/>
    <n v="1"/>
    <n v="0.5"/>
    <n v="0.5"/>
  </r>
  <r>
    <x v="113"/>
    <n v="2"/>
    <n v="2"/>
    <n v="0"/>
    <n v="2"/>
    <n v="0"/>
    <n v="2"/>
    <n v="0"/>
    <n v="1"/>
    <n v="0"/>
  </r>
  <r>
    <x v="114"/>
    <n v="2"/>
    <n v="2"/>
    <n v="1"/>
    <n v="1"/>
    <n v="0"/>
    <n v="2"/>
    <n v="0"/>
    <n v="1"/>
    <n v="0"/>
  </r>
  <r>
    <x v="115"/>
    <n v="2"/>
    <n v="2"/>
    <n v="0"/>
    <n v="2"/>
    <n v="0"/>
    <n v="2"/>
    <n v="0"/>
    <n v="1"/>
    <n v="0"/>
  </r>
  <r>
    <x v="116"/>
    <n v="2"/>
    <n v="2"/>
    <n v="0"/>
    <n v="2"/>
    <n v="0"/>
    <n v="0"/>
    <n v="2"/>
    <n v="0"/>
    <n v="1"/>
  </r>
  <r>
    <x v="117"/>
    <n v="2"/>
    <n v="2"/>
    <n v="1"/>
    <n v="1"/>
    <n v="0"/>
    <n v="2"/>
    <n v="0"/>
    <n v="1"/>
    <n v="0"/>
  </r>
  <r>
    <x v="118"/>
    <n v="2"/>
    <n v="2"/>
    <n v="1"/>
    <n v="1"/>
    <n v="0"/>
    <n v="1"/>
    <n v="1"/>
    <n v="0.5"/>
    <n v="0.5"/>
  </r>
  <r>
    <x v="119"/>
    <n v="2"/>
    <n v="3"/>
    <n v="1"/>
    <n v="1"/>
    <n v="0"/>
    <n v="1"/>
    <n v="2"/>
    <n v="0.33333333333333331"/>
    <n v="0.66666666666666663"/>
  </r>
  <r>
    <x v="120"/>
    <n v="2"/>
    <n v="2"/>
    <n v="0"/>
    <n v="2"/>
    <n v="0"/>
    <n v="1"/>
    <n v="1"/>
    <n v="0.5"/>
    <n v="0.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n v="0.2"/>
    <n v="0.8"/>
  </r>
  <r>
    <x v="1"/>
    <n v="0.2"/>
    <n v="0.8"/>
  </r>
  <r>
    <x v="2"/>
    <n v="0.25"/>
    <n v="0.75"/>
  </r>
  <r>
    <x v="3"/>
    <n v="0.25"/>
    <n v="0.75"/>
  </r>
  <r>
    <x v="4"/>
    <n v="0.27272727272727271"/>
    <n v="0.72727272727272729"/>
  </r>
  <r>
    <x v="5"/>
    <n v="0.27272727272727271"/>
    <n v="0.72727272727272729"/>
  </r>
  <r>
    <x v="6"/>
    <n v="0.2857142857142857"/>
    <n v="0.7142857142857143"/>
  </r>
  <r>
    <x v="7"/>
    <n v="0.33333333333333331"/>
    <n v="0.66666666666666663"/>
  </r>
  <r>
    <x v="8"/>
    <n v="0.33333333333333331"/>
    <n v="0.66666666666666663"/>
  </r>
  <r>
    <x v="9"/>
    <n v="0.33333333333333331"/>
    <n v="0.66666666666666663"/>
  </r>
  <r>
    <x v="10"/>
    <n v="0.33333333333333331"/>
    <n v="0.66666666666666663"/>
  </r>
  <r>
    <x v="11"/>
    <n v="0.33333333333333331"/>
    <n v="0.66666666666666663"/>
  </r>
  <r>
    <x v="12"/>
    <n v="0.33333333333333331"/>
    <n v="0.66666666666666663"/>
  </r>
  <r>
    <x v="13"/>
    <n v="0.33333333333333331"/>
    <n v="0.66666666666666663"/>
  </r>
  <r>
    <x v="14"/>
    <n v="0.33333333333333331"/>
    <n v="0.66666666666666663"/>
  </r>
  <r>
    <x v="15"/>
    <n v="0.33333333333333331"/>
    <n v="0.66666666666666663"/>
  </r>
  <r>
    <x v="16"/>
    <n v="0.33333333333333331"/>
    <n v="0.66666666666666663"/>
  </r>
  <r>
    <x v="17"/>
    <n v="0.375"/>
    <n v="0.625"/>
  </r>
  <r>
    <x v="18"/>
    <n v="0.4"/>
    <n v="0.6"/>
  </r>
  <r>
    <x v="19"/>
    <n v="0.4"/>
    <n v="0.6"/>
  </r>
  <r>
    <x v="20"/>
    <n v="0.4"/>
    <n v="0.6"/>
  </r>
  <r>
    <x v="21"/>
    <n v="0.42857142857142855"/>
    <n v="0.5714285714285714"/>
  </r>
  <r>
    <x v="22"/>
    <n v="0.45454545454545453"/>
    <n v="0.54545454545454541"/>
  </r>
  <r>
    <x v="23"/>
    <n v="0.46153846153846156"/>
    <n v="0.53846153846153844"/>
  </r>
  <r>
    <x v="24"/>
    <n v="0.53846153846153844"/>
    <n v="0.46153846153846156"/>
  </r>
  <r>
    <x v="25"/>
    <n v="0.55555555555555558"/>
    <n v="0.44444444444444442"/>
  </r>
  <r>
    <x v="26"/>
    <n v="0.55555555555555558"/>
    <n v="0.44444444444444442"/>
  </r>
  <r>
    <x v="27"/>
    <n v="0.55555555555555558"/>
    <n v="0.44444444444444442"/>
  </r>
  <r>
    <x v="28"/>
    <n v="0.5714285714285714"/>
    <n v="0.42857142857142855"/>
  </r>
  <r>
    <x v="29"/>
    <n v="0.5714285714285714"/>
    <n v="0.42857142857142855"/>
  </r>
  <r>
    <x v="30"/>
    <n v="0.6"/>
    <n v="0.4"/>
  </r>
  <r>
    <x v="31"/>
    <n v="0.6"/>
    <n v="0.4"/>
  </r>
  <r>
    <x v="32"/>
    <n v="0.6"/>
    <n v="0.4"/>
  </r>
  <r>
    <x v="33"/>
    <n v="0.6"/>
    <n v="0.4"/>
  </r>
  <r>
    <x v="34"/>
    <n v="0.6"/>
    <n v="0.4"/>
  </r>
  <r>
    <x v="35"/>
    <n v="0.625"/>
    <n v="0.375"/>
  </r>
  <r>
    <x v="36"/>
    <n v="0.625"/>
    <n v="0.375"/>
  </r>
  <r>
    <x v="37"/>
    <n v="0.625"/>
    <n v="0.375"/>
  </r>
  <r>
    <x v="38"/>
    <n v="0.625"/>
    <n v="0.375"/>
  </r>
  <r>
    <x v="39"/>
    <n v="0.66666666666666663"/>
    <n v="0.33333333333333331"/>
  </r>
  <r>
    <x v="40"/>
    <n v="0.66666666666666663"/>
    <n v="0.33333333333333331"/>
  </r>
  <r>
    <x v="41"/>
    <n v="0.66666666666666663"/>
    <n v="0.33333333333333331"/>
  </r>
  <r>
    <x v="42"/>
    <n v="0.66666666666666663"/>
    <n v="0.33333333333333331"/>
  </r>
  <r>
    <x v="43"/>
    <n v="0.66666666666666663"/>
    <n v="0.33333333333333331"/>
  </r>
  <r>
    <x v="44"/>
    <n v="0.66666666666666663"/>
    <n v="0.33333333333333331"/>
  </r>
  <r>
    <x v="45"/>
    <n v="0.66666666666666663"/>
    <n v="0.33333333333333331"/>
  </r>
  <r>
    <x v="46"/>
    <n v="0.66666666666666663"/>
    <n v="0.33333333333333331"/>
  </r>
  <r>
    <x v="47"/>
    <n v="0.7142857142857143"/>
    <n v="0.2857142857142857"/>
  </r>
  <r>
    <x v="48"/>
    <n v="0.7142857142857143"/>
    <n v="0.2857142857142857"/>
  </r>
  <r>
    <x v="49"/>
    <n v="0.7142857142857143"/>
    <n v="0.2857142857142857"/>
  </r>
  <r>
    <x v="50"/>
    <n v="0.7142857142857143"/>
    <n v="0.2857142857142857"/>
  </r>
  <r>
    <x v="51"/>
    <n v="0.7142857142857143"/>
    <n v="0.2857142857142857"/>
  </r>
  <r>
    <x v="52"/>
    <n v="0.72727272727272729"/>
    <n v="0.27272727272727271"/>
  </r>
  <r>
    <x v="53"/>
    <n v="0.75"/>
    <n v="0.25"/>
  </r>
  <r>
    <x v="54"/>
    <n v="0.75"/>
    <n v="0.25"/>
  </r>
  <r>
    <x v="55"/>
    <n v="0.75"/>
    <n v="0.25"/>
  </r>
  <r>
    <x v="56"/>
    <n v="0.75"/>
    <n v="0.25"/>
  </r>
  <r>
    <x v="57"/>
    <n v="0.75"/>
    <n v="0.25"/>
  </r>
  <r>
    <x v="58"/>
    <n v="0.75"/>
    <n v="0.25"/>
  </r>
  <r>
    <x v="59"/>
    <n v="0.75"/>
    <n v="0.25"/>
  </r>
  <r>
    <x v="60"/>
    <n v="0.75"/>
    <n v="0.25"/>
  </r>
  <r>
    <x v="61"/>
    <n v="0.7857142857142857"/>
    <n v="0.21428571428571427"/>
  </r>
  <r>
    <x v="62"/>
    <n v="0.8"/>
    <n v="0.2"/>
  </r>
  <r>
    <x v="63"/>
    <n v="0.8"/>
    <n v="0.2"/>
  </r>
  <r>
    <x v="64"/>
    <n v="0.8"/>
    <n v="0.2"/>
  </r>
  <r>
    <x v="65"/>
    <n v="0.8"/>
    <n v="0.2"/>
  </r>
  <r>
    <x v="66"/>
    <n v="0.8"/>
    <n v="0.2"/>
  </r>
  <r>
    <x v="67"/>
    <n v="0.82352941176470584"/>
    <n v="0.17647058823529413"/>
  </r>
  <r>
    <x v="68"/>
    <n v="0.9"/>
    <n v="0.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251"/>
    <n v="0.39403453689167978"/>
  </r>
  <r>
    <x v="1"/>
    <n v="160"/>
    <n v="0.25117739403453687"/>
  </r>
  <r>
    <x v="2"/>
    <n v="60"/>
    <n v="9.4191522762951341E-2"/>
  </r>
  <r>
    <x v="3"/>
    <n v="56"/>
    <n v="8.7912087912087919E-2"/>
  </r>
  <r>
    <x v="4"/>
    <n v="58"/>
    <n v="9.1051805337519623E-2"/>
  </r>
  <r>
    <x v="5"/>
    <n v="27"/>
    <n v="4.2386185243328101E-2"/>
  </r>
  <r>
    <x v="6"/>
    <n v="16"/>
    <n v="2.5117739403453691E-2"/>
  </r>
  <r>
    <x v="7"/>
    <n v="9"/>
    <n v="1.4128728414442701E-2"/>
  </r>
  <r>
    <x v="8"/>
    <n v="637"/>
    <n v="1.000000000000000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x v="0"/>
    <x v="0"/>
    <n v="1"/>
    <n v="0"/>
  </r>
  <r>
    <x v="1"/>
    <x v="1"/>
    <n v="1"/>
    <n v="0"/>
  </r>
  <r>
    <x v="2"/>
    <x v="0"/>
    <n v="1"/>
    <n v="0"/>
  </r>
  <r>
    <x v="3"/>
    <x v="0"/>
    <n v="1"/>
    <n v="0"/>
  </r>
  <r>
    <x v="4"/>
    <x v="2"/>
    <n v="1"/>
    <n v="0"/>
  </r>
  <r>
    <x v="5"/>
    <x v="0"/>
    <n v="1"/>
    <n v="0"/>
  </r>
  <r>
    <x v="6"/>
    <x v="2"/>
    <n v="1"/>
    <n v="0"/>
  </r>
  <r>
    <x v="7"/>
    <x v="2"/>
    <n v="1"/>
    <n v="0"/>
  </r>
  <r>
    <x v="8"/>
    <x v="0"/>
    <n v="1"/>
    <n v="0"/>
  </r>
  <r>
    <x v="9"/>
    <x v="2"/>
    <n v="1"/>
    <n v="0"/>
  </r>
  <r>
    <x v="10"/>
    <x v="0"/>
    <n v="1"/>
    <n v="0"/>
  </r>
  <r>
    <x v="11"/>
    <x v="0"/>
    <n v="1"/>
    <n v="0"/>
  </r>
  <r>
    <x v="12"/>
    <x v="2"/>
    <n v="1"/>
    <n v="0"/>
  </r>
  <r>
    <x v="13"/>
    <x v="3"/>
    <n v="1"/>
    <n v="0"/>
  </r>
  <r>
    <x v="14"/>
    <x v="0"/>
    <n v="1"/>
    <n v="0"/>
  </r>
  <r>
    <x v="15"/>
    <x v="3"/>
    <n v="1"/>
    <n v="0"/>
  </r>
  <r>
    <x v="16"/>
    <x v="0"/>
    <n v="1"/>
    <n v="0"/>
  </r>
  <r>
    <x v="17"/>
    <x v="0"/>
    <n v="1"/>
    <n v="0"/>
  </r>
  <r>
    <x v="18"/>
    <x v="4"/>
    <n v="1"/>
    <n v="0"/>
  </r>
  <r>
    <x v="19"/>
    <x v="2"/>
    <n v="1"/>
    <n v="0"/>
  </r>
  <r>
    <x v="20"/>
    <x v="0"/>
    <n v="1"/>
    <n v="0"/>
  </r>
  <r>
    <x v="21"/>
    <x v="0"/>
    <n v="1"/>
    <n v="0"/>
  </r>
  <r>
    <x v="22"/>
    <x v="0"/>
    <n v="1"/>
    <n v="0"/>
  </r>
  <r>
    <x v="23"/>
    <x v="0"/>
    <n v="1"/>
    <n v="0"/>
  </r>
  <r>
    <x v="24"/>
    <x v="0"/>
    <n v="1"/>
    <n v="0"/>
  </r>
  <r>
    <x v="25"/>
    <x v="0"/>
    <n v="1"/>
    <n v="0"/>
  </r>
  <r>
    <x v="26"/>
    <x v="0"/>
    <n v="1"/>
    <n v="0"/>
  </r>
  <r>
    <x v="27"/>
    <x v="0"/>
    <n v="0.9"/>
    <n v="0.1"/>
  </r>
  <r>
    <x v="28"/>
    <x v="2"/>
    <n v="0.82352941176470584"/>
    <n v="0.17647058823529413"/>
  </r>
  <r>
    <x v="29"/>
    <x v="0"/>
    <n v="0.8"/>
    <n v="0.2"/>
  </r>
  <r>
    <x v="30"/>
    <x v="3"/>
    <n v="0.8"/>
    <n v="0.2"/>
  </r>
  <r>
    <x v="31"/>
    <x v="0"/>
    <n v="0.8"/>
    <n v="0.2"/>
  </r>
  <r>
    <x v="32"/>
    <x v="0"/>
    <n v="0.8"/>
    <n v="0.2"/>
  </r>
  <r>
    <x v="33"/>
    <x v="0"/>
    <n v="0.8"/>
    <n v="0.2"/>
  </r>
  <r>
    <x v="34"/>
    <x v="0"/>
    <n v="0.7857142857142857"/>
    <n v="0.21428571428571427"/>
  </r>
  <r>
    <x v="35"/>
    <x v="1"/>
    <n v="0.75"/>
    <n v="0.25"/>
  </r>
  <r>
    <x v="36"/>
    <x v="3"/>
    <n v="0.75"/>
    <n v="0.25"/>
  </r>
  <r>
    <x v="37"/>
    <x v="0"/>
    <n v="0.75"/>
    <n v="0.25"/>
  </r>
  <r>
    <x v="38"/>
    <x v="0"/>
    <n v="0.75"/>
    <n v="0.25"/>
  </r>
  <r>
    <x v="39"/>
    <x v="0"/>
    <n v="0.75"/>
    <n v="0.25"/>
  </r>
  <r>
    <x v="40"/>
    <x v="0"/>
    <n v="0.75"/>
    <n v="0.25"/>
  </r>
  <r>
    <x v="41"/>
    <x v="0"/>
    <n v="0.75"/>
    <n v="0.25"/>
  </r>
  <r>
    <x v="42"/>
    <x v="3"/>
    <n v="0.75"/>
    <n v="0.25"/>
  </r>
  <r>
    <x v="43"/>
    <x v="0"/>
    <n v="0.72727272727272729"/>
    <n v="0.27272727272727271"/>
  </r>
  <r>
    <x v="44"/>
    <x v="0"/>
    <n v="0.7142857142857143"/>
    <n v="0.2857142857142857"/>
  </r>
  <r>
    <x v="45"/>
    <x v="0"/>
    <n v="0.7142857142857143"/>
    <n v="0.2857142857142857"/>
  </r>
  <r>
    <x v="46"/>
    <x v="0"/>
    <n v="0.7142857142857143"/>
    <n v="0.2857142857142857"/>
  </r>
  <r>
    <x v="47"/>
    <x v="0"/>
    <n v="0.7142857142857143"/>
    <n v="0.2857142857142857"/>
  </r>
  <r>
    <x v="48"/>
    <x v="3"/>
    <n v="0.7142857142857143"/>
    <n v="0.2857142857142857"/>
  </r>
  <r>
    <x v="49"/>
    <x v="0"/>
    <n v="0.66666666666666663"/>
    <n v="0.33333333333333331"/>
  </r>
  <r>
    <x v="50"/>
    <x v="3"/>
    <n v="0.66666666666666663"/>
    <n v="0.33333333333333331"/>
  </r>
  <r>
    <x v="51"/>
    <x v="0"/>
    <n v="0.66666666666666663"/>
    <n v="0.33333333333333331"/>
  </r>
  <r>
    <x v="52"/>
    <x v="3"/>
    <n v="0.66666666666666663"/>
    <n v="0.33333333333333331"/>
  </r>
  <r>
    <x v="53"/>
    <x v="3"/>
    <n v="0.66666666666666663"/>
    <n v="0.33333333333333331"/>
  </r>
  <r>
    <x v="54"/>
    <x v="0"/>
    <n v="0.66666666666666663"/>
    <n v="0.33333333333333331"/>
  </r>
  <r>
    <x v="55"/>
    <x v="0"/>
    <n v="0.66666666666666663"/>
    <n v="0.33333333333333331"/>
  </r>
  <r>
    <x v="56"/>
    <x v="2"/>
    <n v="0.66666666666666663"/>
    <n v="0.33333333333333331"/>
  </r>
  <r>
    <x v="57"/>
    <x v="3"/>
    <n v="0.625"/>
    <n v="0.375"/>
  </r>
  <r>
    <x v="58"/>
    <x v="0"/>
    <n v="0.625"/>
    <n v="0.375"/>
  </r>
  <r>
    <x v="59"/>
    <x v="0"/>
    <n v="0.625"/>
    <n v="0.375"/>
  </r>
  <r>
    <x v="60"/>
    <x v="0"/>
    <n v="0.625"/>
    <n v="0.375"/>
  </r>
  <r>
    <x v="61"/>
    <x v="0"/>
    <n v="0.6"/>
    <n v="0.4"/>
  </r>
  <r>
    <x v="62"/>
    <x v="0"/>
    <n v="0.6"/>
    <n v="0.4"/>
  </r>
  <r>
    <x v="63"/>
    <x v="3"/>
    <n v="0.6"/>
    <n v="0.4"/>
  </r>
  <r>
    <x v="64"/>
    <x v="2"/>
    <n v="0.6"/>
    <n v="0.4"/>
  </r>
  <r>
    <x v="65"/>
    <x v="0"/>
    <n v="0.6"/>
    <n v="0.4"/>
  </r>
  <r>
    <x v="66"/>
    <x v="2"/>
    <n v="0.5714285714285714"/>
    <n v="0.42857142857142855"/>
  </r>
  <r>
    <x v="67"/>
    <x v="3"/>
    <n v="0.5714285714285714"/>
    <n v="0.42857142857142855"/>
  </r>
  <r>
    <x v="68"/>
    <x v="3"/>
    <n v="0.55555555555555558"/>
    <n v="0.44444444444444442"/>
  </r>
  <r>
    <x v="69"/>
    <x v="3"/>
    <n v="0.55555555555555558"/>
    <n v="0.44444444444444442"/>
  </r>
  <r>
    <x v="70"/>
    <x v="0"/>
    <n v="0.55555555555555558"/>
    <n v="0.44444444444444442"/>
  </r>
  <r>
    <x v="71"/>
    <x v="0"/>
    <n v="0.53846153846153844"/>
    <n v="0.46153846153846156"/>
  </r>
  <r>
    <x v="72"/>
    <x v="0"/>
    <n v="0.5"/>
    <n v="0.5"/>
  </r>
  <r>
    <x v="73"/>
    <x v="3"/>
    <n v="0.5"/>
    <n v="0.5"/>
  </r>
  <r>
    <x v="74"/>
    <x v="0"/>
    <n v="0.5"/>
    <n v="0.5"/>
  </r>
  <r>
    <x v="75"/>
    <x v="1"/>
    <n v="0.5"/>
    <n v="0.5"/>
  </r>
  <r>
    <x v="76"/>
    <x v="2"/>
    <n v="0.5"/>
    <n v="0.5"/>
  </r>
  <r>
    <x v="77"/>
    <x v="3"/>
    <n v="0.5"/>
    <n v="0.5"/>
  </r>
  <r>
    <x v="78"/>
    <x v="3"/>
    <n v="0.5"/>
    <n v="0.5"/>
  </r>
  <r>
    <x v="79"/>
    <x v="3"/>
    <n v="0.5"/>
    <n v="0.5"/>
  </r>
  <r>
    <x v="80"/>
    <x v="5"/>
    <n v="0.5"/>
    <n v="0.5"/>
  </r>
  <r>
    <x v="81"/>
    <x v="2"/>
    <n v="0.5"/>
    <n v="0.5"/>
  </r>
  <r>
    <x v="82"/>
    <x v="3"/>
    <n v="0.5"/>
    <n v="0.5"/>
  </r>
  <r>
    <x v="83"/>
    <x v="3"/>
    <n v="0.5"/>
    <n v="0.5"/>
  </r>
  <r>
    <x v="84"/>
    <x v="0"/>
    <n v="0.5"/>
    <n v="0.5"/>
  </r>
  <r>
    <x v="85"/>
    <x v="1"/>
    <n v="0.5"/>
    <n v="0.5"/>
  </r>
  <r>
    <x v="86"/>
    <x v="0"/>
    <n v="0.5"/>
    <n v="0.5"/>
  </r>
  <r>
    <x v="87"/>
    <x v="3"/>
    <n v="0.5"/>
    <n v="0.5"/>
  </r>
  <r>
    <x v="88"/>
    <x v="0"/>
    <n v="0.5"/>
    <n v="0.5"/>
  </r>
  <r>
    <x v="89"/>
    <x v="2"/>
    <n v="0.5"/>
    <n v="0.5"/>
  </r>
  <r>
    <x v="90"/>
    <x v="0"/>
    <n v="0.5"/>
    <n v="0.5"/>
  </r>
  <r>
    <x v="91"/>
    <x v="3"/>
    <n v="0.5"/>
    <n v="0.5"/>
  </r>
  <r>
    <x v="92"/>
    <x v="3"/>
    <n v="0.46153846153846156"/>
    <n v="0.53846153846153844"/>
  </r>
  <r>
    <x v="93"/>
    <x v="0"/>
    <n v="0.45454545454545453"/>
    <n v="0.54545454545454541"/>
  </r>
  <r>
    <x v="94"/>
    <x v="3"/>
    <n v="0.42857142857142855"/>
    <n v="0.5714285714285714"/>
  </r>
  <r>
    <x v="95"/>
    <x v="3"/>
    <n v="0.4"/>
    <n v="0.6"/>
  </r>
  <r>
    <x v="96"/>
    <x v="0"/>
    <n v="0.4"/>
    <n v="0.6"/>
  </r>
  <r>
    <x v="97"/>
    <x v="3"/>
    <n v="0.4"/>
    <n v="0.6"/>
  </r>
  <r>
    <x v="98"/>
    <x v="3"/>
    <n v="0.375"/>
    <n v="0.625"/>
  </r>
  <r>
    <x v="99"/>
    <x v="4"/>
    <n v="0.33333333333333331"/>
    <n v="0.66666666666666663"/>
  </r>
  <r>
    <x v="100"/>
    <x v="4"/>
    <n v="0.33333333333333331"/>
    <n v="0.66666666666666663"/>
  </r>
  <r>
    <x v="101"/>
    <x v="0"/>
    <n v="0.33333333333333331"/>
    <n v="0.66666666666666663"/>
  </r>
  <r>
    <x v="102"/>
    <x v="3"/>
    <n v="0.33333333333333331"/>
    <n v="0.66666666666666663"/>
  </r>
  <r>
    <x v="103"/>
    <x v="0"/>
    <n v="0.33333333333333331"/>
    <n v="0.66666666666666663"/>
  </r>
  <r>
    <x v="104"/>
    <x v="0"/>
    <n v="0.33333333333333331"/>
    <n v="0.66666666666666663"/>
  </r>
  <r>
    <x v="105"/>
    <x v="2"/>
    <n v="0.33333333333333331"/>
    <n v="0.66666666666666663"/>
  </r>
  <r>
    <x v="106"/>
    <x v="0"/>
    <n v="0.33333333333333331"/>
    <n v="0.66666666666666663"/>
  </r>
  <r>
    <x v="107"/>
    <x v="0"/>
    <n v="0.33333333333333331"/>
    <n v="0.66666666666666663"/>
  </r>
  <r>
    <x v="108"/>
    <x v="3"/>
    <n v="0.33333333333333331"/>
    <n v="0.66666666666666663"/>
  </r>
  <r>
    <x v="109"/>
    <x v="3"/>
    <n v="0.2857142857142857"/>
    <n v="0.7142857142857143"/>
  </r>
  <r>
    <x v="110"/>
    <x v="3"/>
    <n v="0.27272727272727271"/>
    <n v="0.72727272727272729"/>
  </r>
  <r>
    <x v="111"/>
    <x v="3"/>
    <n v="0.27272727272727271"/>
    <n v="0.72727272727272729"/>
  </r>
  <r>
    <x v="112"/>
    <x v="3"/>
    <n v="0.25"/>
    <n v="0.75"/>
  </r>
  <r>
    <x v="113"/>
    <x v="0"/>
    <n v="0.25"/>
    <n v="0.75"/>
  </r>
  <r>
    <x v="114"/>
    <x v="4"/>
    <n v="0.2"/>
    <n v="0.8"/>
  </r>
  <r>
    <x v="115"/>
    <x v="3"/>
    <n v="0.2"/>
    <n v="0.8"/>
  </r>
  <r>
    <x v="116"/>
    <x v="3"/>
    <n v="0"/>
    <n v="1"/>
  </r>
  <r>
    <x v="117"/>
    <x v="0"/>
    <n v="0"/>
    <n v="1"/>
  </r>
  <r>
    <x v="118"/>
    <x v="3"/>
    <n v="0"/>
    <n v="1"/>
  </r>
  <r>
    <x v="119"/>
    <x v="3"/>
    <n v="0"/>
    <n v="1"/>
  </r>
  <r>
    <x v="120"/>
    <x v="3"/>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887E9D-7196-4660-B040-11891C48E9F2}" name="PivotTable7" cacheId="51" applyNumberFormats="0" applyBorderFormats="0" applyFontFormats="0" applyPatternFormats="0" applyAlignmentFormats="0" applyWidthHeightFormats="1" dataCaption="Values" grandTotalCaption="Sum Of Votes" updatedVersion="8" minRefreshableVersion="3" useAutoFormatting="1" itemPrintTitles="1" createdVersion="8" indent="0" outline="1" outlineData="1" multipleFieldFilters="0" chartFormat="1" rowHeaderCaption="Name">
  <location ref="R123:T168" firstHeaderRow="0" firstDataRow="1" firstDataCol="1"/>
  <pivotFields count="10">
    <pivotField axis="axisRow" showAll="0">
      <items count="47">
        <item x="22"/>
        <item n="amber brkich" m="1" x="44"/>
        <item x="10"/>
        <item x="12"/>
        <item x="0"/>
        <item x="41"/>
        <item x="23"/>
        <item x="15"/>
        <item x="20"/>
        <item x="14"/>
        <item x="27"/>
        <item x="34"/>
        <item x="39"/>
        <item x="17"/>
        <item x="16"/>
        <item x="6"/>
        <item x="5"/>
        <item x="1"/>
        <item n="Kim spradlin" m="1" x="45"/>
        <item x="26"/>
        <item x="3"/>
        <item x="28"/>
        <item x="18"/>
        <item x="11"/>
        <item x="40"/>
        <item x="8"/>
        <item x="36"/>
        <item x="31"/>
        <item x="33"/>
        <item x="7"/>
        <item x="21"/>
        <item x="24"/>
        <item x="38"/>
        <item x="42"/>
        <item x="25"/>
        <item x="29"/>
        <item x="9"/>
        <item x="32"/>
        <item x="2"/>
        <item x="13"/>
        <item n="Yam Yam Arocho" x="4"/>
        <item x="43"/>
        <item x="19"/>
        <item x="37"/>
        <item n="Kim spradlin2" x="30"/>
        <item n="Amber Brkich2" x="35"/>
        <item t="default"/>
      </items>
    </pivotField>
    <pivotField showAll="0"/>
    <pivotField showAll="0"/>
    <pivotField dataField="1" showAll="0"/>
    <pivotField dataField="1" showAll="0"/>
    <pivotField showAll="0"/>
    <pivotField showAll="0"/>
    <pivotField numFmtId="9" showAll="0"/>
    <pivotField showAll="0"/>
    <pivotField showAll="0"/>
  </pivotFields>
  <rowFields count="1">
    <field x="0"/>
  </rowFields>
  <rowItems count="45">
    <i>
      <x/>
    </i>
    <i>
      <x v="2"/>
    </i>
    <i>
      <x v="3"/>
    </i>
    <i>
      <x v="4"/>
    </i>
    <i>
      <x v="5"/>
    </i>
    <i>
      <x v="6"/>
    </i>
    <i>
      <x v="7"/>
    </i>
    <i>
      <x v="8"/>
    </i>
    <i>
      <x v="9"/>
    </i>
    <i>
      <x v="10"/>
    </i>
    <i>
      <x v="11"/>
    </i>
    <i>
      <x v="12"/>
    </i>
    <i>
      <x v="13"/>
    </i>
    <i>
      <x v="14"/>
    </i>
    <i>
      <x v="15"/>
    </i>
    <i>
      <x v="16"/>
    </i>
    <i>
      <x v="17"/>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Fields count="1">
    <field x="-2"/>
  </colFields>
  <colItems count="2">
    <i>
      <x/>
    </i>
    <i i="1">
      <x v="1"/>
    </i>
  </colItems>
  <dataFields count="2">
    <dataField name="Minority Votes" fld="3" baseField="0" baseItem="0"/>
    <dataField name="Majority Votes" fld="4" baseField="0" baseItem="0"/>
  </dataFields>
  <formats count="11">
    <format dxfId="197">
      <pivotArea field="0" type="button" dataOnly="0" labelOnly="1" outline="0" axis="axisRow" fieldPosition="0"/>
    </format>
    <format dxfId="196">
      <pivotArea dataOnly="0" labelOnly="1" outline="0" fieldPosition="0">
        <references count="1">
          <reference field="4294967294" count="2">
            <x v="0"/>
            <x v="1"/>
          </reference>
        </references>
      </pivotArea>
    </format>
    <format dxfId="195">
      <pivotArea field="0" type="button" dataOnly="0" labelOnly="1" outline="0" axis="axisRow" fieldPosition="0"/>
    </format>
    <format dxfId="194">
      <pivotArea dataOnly="0" labelOnly="1" outline="0" fieldPosition="0">
        <references count="1">
          <reference field="4294967294" count="2">
            <x v="0"/>
            <x v="1"/>
          </reference>
        </references>
      </pivotArea>
    </format>
    <format dxfId="193">
      <pivotArea outline="0" collapsedLevelsAreSubtotals="1" fieldPosition="0"/>
    </format>
    <format dxfId="192">
      <pivotArea type="all" dataOnly="0" outline="0" fieldPosition="0"/>
    </format>
    <format dxfId="191">
      <pivotArea outline="0" collapsedLevelsAreSubtotals="1" fieldPosition="0"/>
    </format>
    <format dxfId="190">
      <pivotArea field="0" type="button" dataOnly="0" labelOnly="1" outline="0" axis="axisRow" fieldPosition="0"/>
    </format>
    <format dxfId="189">
      <pivotArea dataOnly="0" labelOnly="1" fieldPosition="0">
        <references count="1">
          <reference field="0" count="0"/>
        </references>
      </pivotArea>
    </format>
    <format dxfId="188">
      <pivotArea dataOnly="0" labelOnly="1" grandRow="1" outline="0" fieldPosition="0"/>
    </format>
    <format dxfId="187">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B05DB0-3AB6-4BF0-8E4D-7A1879D78195}" name="PivotTable6" cacheId="51" applyNumberFormats="0" applyBorderFormats="0" applyFontFormats="0" applyPatternFormats="0" applyAlignmentFormats="0" applyWidthHeightFormats="1" dataCaption="Values" grandTotalCaption="Average Ranking" updatedVersion="8" minRefreshableVersion="3" useAutoFormatting="1" itemPrintTitles="1" createdVersion="8" indent="0" outline="1" outlineData="1" multipleFieldFilters="0" chartFormat="1" rowHeaderCaption="Name">
  <location ref="P123:Q168" firstHeaderRow="1" firstDataRow="1" firstDataCol="1"/>
  <pivotFields count="10">
    <pivotField axis="axisRow" showAll="0" sortType="ascending">
      <items count="47">
        <item x="22"/>
        <item n="amber brkich" m="1" x="44"/>
        <item x="10"/>
        <item x="12"/>
        <item x="0"/>
        <item x="41"/>
        <item x="23"/>
        <item x="15"/>
        <item x="20"/>
        <item x="14"/>
        <item x="27"/>
        <item x="34"/>
        <item x="39"/>
        <item x="17"/>
        <item x="16"/>
        <item x="6"/>
        <item x="5"/>
        <item x="1"/>
        <item n="Kim spradlin" m="1" x="45"/>
        <item x="26"/>
        <item x="3"/>
        <item x="28"/>
        <item x="18"/>
        <item x="11"/>
        <item x="40"/>
        <item x="8"/>
        <item x="36"/>
        <item x="31"/>
        <item x="33"/>
        <item x="7"/>
        <item x="21"/>
        <item x="24"/>
        <item x="38"/>
        <item x="42"/>
        <item x="25"/>
        <item x="29"/>
        <item x="9"/>
        <item x="32"/>
        <item x="2"/>
        <item x="13"/>
        <item n="Yam Yam Arocho" x="4"/>
        <item x="43"/>
        <item x="19"/>
        <item x="37"/>
        <item n="Kim spradlin2" x="30"/>
        <item n="Amber Brkich2" x="3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9" showAll="0"/>
    <pivotField dataField="1" showAll="0"/>
    <pivotField showAll="0"/>
  </pivotFields>
  <rowFields count="1">
    <field x="0"/>
  </rowFields>
  <rowItems count="45">
    <i>
      <x v="26"/>
    </i>
    <i>
      <x v="24"/>
    </i>
    <i>
      <x v="5"/>
    </i>
    <i>
      <x v="43"/>
    </i>
    <i>
      <x v="12"/>
    </i>
    <i>
      <x v="45"/>
    </i>
    <i>
      <x v="32"/>
    </i>
    <i>
      <x v="41"/>
    </i>
    <i>
      <x v="33"/>
    </i>
    <i>
      <x v="11"/>
    </i>
    <i>
      <x v="28"/>
    </i>
    <i>
      <x v="27"/>
    </i>
    <i>
      <x v="37"/>
    </i>
    <i>
      <x v="44"/>
    </i>
    <i>
      <x v="35"/>
    </i>
    <i>
      <x v="21"/>
    </i>
    <i>
      <x v="10"/>
    </i>
    <i>
      <x v="19"/>
    </i>
    <i>
      <x v="34"/>
    </i>
    <i>
      <x v="31"/>
    </i>
    <i>
      <x/>
    </i>
    <i>
      <x v="8"/>
    </i>
    <i>
      <x v="42"/>
    </i>
    <i>
      <x v="6"/>
    </i>
    <i>
      <x v="30"/>
    </i>
    <i>
      <x v="14"/>
    </i>
    <i>
      <x v="22"/>
    </i>
    <i>
      <x v="13"/>
    </i>
    <i>
      <x v="7"/>
    </i>
    <i>
      <x v="9"/>
    </i>
    <i>
      <x v="23"/>
    </i>
    <i>
      <x v="39"/>
    </i>
    <i>
      <x v="3"/>
    </i>
    <i>
      <x v="2"/>
    </i>
    <i>
      <x v="25"/>
    </i>
    <i>
      <x v="29"/>
    </i>
    <i>
      <x v="36"/>
    </i>
    <i>
      <x v="15"/>
    </i>
    <i>
      <x v="16"/>
    </i>
    <i>
      <x v="40"/>
    </i>
    <i>
      <x v="38"/>
    </i>
    <i>
      <x v="20"/>
    </i>
    <i>
      <x v="17"/>
    </i>
    <i>
      <x v="4"/>
    </i>
    <i t="grand">
      <x/>
    </i>
  </rowItems>
  <colItems count="1">
    <i/>
  </colItems>
  <dataFields count="1">
    <dataField name="Average of Comparative Ranking To Other Winners" fld="8" subtotal="average" baseField="0" baseItem="9"/>
  </dataFields>
  <formats count="22">
    <format dxfId="219">
      <pivotArea field="0" type="button" dataOnly="0" labelOnly="1" outline="0" axis="axisRow"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field="0" type="button" dataOnly="0" labelOnly="1" outline="0" axis="axisRow" fieldPosition="0"/>
    </format>
    <format dxfId="214">
      <pivotArea dataOnly="0" labelOnly="1" fieldPosition="0">
        <references count="1">
          <reference field="0" count="0"/>
        </references>
      </pivotArea>
    </format>
    <format dxfId="213">
      <pivotArea dataOnly="0" labelOnly="1" grandRow="1" outline="0" fieldPosition="0"/>
    </format>
    <format dxfId="212">
      <pivotArea dataOnly="0" labelOnly="1" outline="0" axis="axisValues" fieldPosition="0"/>
    </format>
    <format dxfId="211">
      <pivotArea dataOnly="0" labelOnly="1" grandRow="1" outline="0" fieldPosition="0"/>
    </format>
    <format dxfId="210">
      <pivotArea dataOnly="0" labelOnly="1" grandRow="1" outline="0" fieldPosition="0"/>
    </format>
    <format dxfId="209">
      <pivotArea dataOnly="0" labelOnly="1" grandRow="1" outline="0" fieldPosition="0"/>
    </format>
    <format dxfId="208">
      <pivotArea grandRow="1" outline="0" collapsedLevelsAreSubtotals="1" fieldPosition="0"/>
    </format>
    <format dxfId="207">
      <pivotArea dataOnly="0" labelOnly="1" grandRow="1" outline="0" fieldPosition="0"/>
    </format>
    <format dxfId="206">
      <pivotArea field="0" dataOnly="0" grandRow="1" axis="axisRow" fieldPosition="0">
        <references count="1">
          <reference field="0" count="2">
            <x v="40"/>
            <x v="41"/>
          </reference>
        </references>
      </pivotArea>
    </format>
    <format dxfId="205">
      <pivotArea grandRow="1" outline="0" collapsedLevelsAreSubtotals="1" fieldPosition="0"/>
    </format>
    <format dxfId="204">
      <pivotArea collapsedLevelsAreSubtotals="1" fieldPosition="0">
        <references count="1">
          <reference field="0" count="0"/>
        </references>
      </pivotArea>
    </format>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fieldPosition="0">
        <references count="1">
          <reference field="0" count="0"/>
        </references>
      </pivotArea>
    </format>
    <format dxfId="199">
      <pivotArea dataOnly="0" labelOnly="1" grandRow="1" outline="0" fieldPosition="0"/>
    </format>
    <format dxfId="19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392E74-2E58-4D6B-BA57-8375FDA6CD2B}" name="PivotTable3" cacheId="51" applyNumberFormats="0" applyBorderFormats="0" applyFontFormats="0" applyPatternFormats="0" applyAlignmentFormats="0" applyWidthHeightFormats="1" dataCaption="Values" grandTotalCaption="Average VAR" updatedVersion="8" minRefreshableVersion="3" useAutoFormatting="1" itemPrintTitles="1" createdVersion="8" indent="0" outline="1" outlineData="1" multipleFieldFilters="0" chartFormat="2" rowHeaderCaption="Name">
  <location ref="N123:O168" firstHeaderRow="1" firstDataRow="1" firstDataCol="1"/>
  <pivotFields count="10">
    <pivotField axis="axisRow" showAll="0">
      <items count="47">
        <item x="22"/>
        <item n="amber brkich" m="1" x="44"/>
        <item x="10"/>
        <item x="12"/>
        <item x="0"/>
        <item x="41"/>
        <item x="23"/>
        <item x="15"/>
        <item x="20"/>
        <item x="14"/>
        <item x="27"/>
        <item x="34"/>
        <item x="39"/>
        <item x="17"/>
        <item x="16"/>
        <item x="6"/>
        <item x="5"/>
        <item x="1"/>
        <item n="Kim spradlin" m="1" x="45"/>
        <item x="26"/>
        <item x="3"/>
        <item x="28"/>
        <item x="18"/>
        <item x="11"/>
        <item x="40"/>
        <item x="8"/>
        <item x="36"/>
        <item x="31"/>
        <item x="33"/>
        <item x="7"/>
        <item x="21"/>
        <item x="24"/>
        <item x="38"/>
        <item x="42"/>
        <item x="25"/>
        <item x="29"/>
        <item x="9"/>
        <item x="32"/>
        <item x="2"/>
        <item x="13"/>
        <item n="Yam Yam Arocho" x="4"/>
        <item x="43"/>
        <item x="19"/>
        <item x="37"/>
        <item n="Kim spradlin2" x="30"/>
        <item n="Amber Brkich2" x="35"/>
        <item t="default"/>
      </items>
    </pivotField>
    <pivotField showAll="0"/>
    <pivotField showAll="0"/>
    <pivotField showAll="0"/>
    <pivotField showAll="0"/>
    <pivotField showAll="0"/>
    <pivotField showAll="0"/>
    <pivotField dataField="1" numFmtId="9" showAll="0"/>
    <pivotField showAll="0"/>
    <pivotField showAll="0"/>
  </pivotFields>
  <rowFields count="1">
    <field x="0"/>
  </rowFields>
  <rowItems count="45">
    <i>
      <x v="4"/>
    </i>
    <i>
      <x v="17"/>
    </i>
    <i>
      <x v="20"/>
    </i>
    <i>
      <x v="38"/>
    </i>
    <i>
      <x v="40"/>
    </i>
    <i>
      <x v="16"/>
    </i>
    <i>
      <x v="15"/>
    </i>
    <i>
      <x v="25"/>
    </i>
    <i>
      <x v="36"/>
    </i>
    <i>
      <x v="29"/>
    </i>
    <i>
      <x v="23"/>
    </i>
    <i>
      <x v="3"/>
    </i>
    <i>
      <x v="2"/>
    </i>
    <i>
      <x v="39"/>
    </i>
    <i>
      <x v="9"/>
    </i>
    <i>
      <x v="7"/>
    </i>
    <i>
      <x v="13"/>
    </i>
    <i>
      <x v="14"/>
    </i>
    <i>
      <x v="22"/>
    </i>
    <i>
      <x v="8"/>
    </i>
    <i>
      <x v="30"/>
    </i>
    <i>
      <x v="42"/>
    </i>
    <i>
      <x v="6"/>
    </i>
    <i>
      <x/>
    </i>
    <i>
      <x v="31"/>
    </i>
    <i>
      <x v="34"/>
    </i>
    <i>
      <x v="19"/>
    </i>
    <i>
      <x v="35"/>
    </i>
    <i>
      <x v="10"/>
    </i>
    <i>
      <x v="21"/>
    </i>
    <i>
      <x v="44"/>
    </i>
    <i>
      <x v="37"/>
    </i>
    <i>
      <x v="27"/>
    </i>
    <i>
      <x v="28"/>
    </i>
    <i>
      <x v="11"/>
    </i>
    <i>
      <x v="33"/>
    </i>
    <i>
      <x v="41"/>
    </i>
    <i>
      <x v="26"/>
    </i>
    <i>
      <x v="12"/>
    </i>
    <i>
      <x v="43"/>
    </i>
    <i>
      <x v="5"/>
    </i>
    <i>
      <x v="32"/>
    </i>
    <i>
      <x v="24"/>
    </i>
    <i>
      <x v="45"/>
    </i>
    <i t="grand">
      <x/>
    </i>
  </rowItems>
  <colItems count="1">
    <i/>
  </colItems>
  <dataFields count="1">
    <dataField name="VAR" fld="7" subtotal="average" baseField="0" baseItem="0"/>
  </dataFields>
  <formats count="22">
    <format dxfId="241">
      <pivotArea collapsedLevelsAreSubtotals="1" fieldPosition="0">
        <references count="1">
          <reference field="0" count="0"/>
        </references>
      </pivotArea>
    </format>
    <format dxfId="240">
      <pivotArea type="all" dataOnly="0" outline="0" fieldPosition="0"/>
    </format>
    <format dxfId="239">
      <pivotArea field="0" type="button" dataOnly="0" labelOnly="1" outline="0" axis="axisRow" fieldPosition="0"/>
    </format>
    <format dxfId="238">
      <pivotArea dataOnly="0" labelOnly="1" outline="0" axis="axisValues" fieldPosition="0"/>
    </format>
    <format dxfId="237">
      <pivotArea field="0" type="button" dataOnly="0" labelOnly="1" outline="0" axis="axisRow" fieldPosition="0"/>
    </format>
    <format dxfId="236">
      <pivotArea dataOnly="0" labelOnly="1" outline="0" axis="axisValues" fieldPosition="0"/>
    </format>
    <format dxfId="235">
      <pivotArea type="all" dataOnly="0" outline="0" fieldPosition="0"/>
    </format>
    <format dxfId="234">
      <pivotArea outline="0" collapsedLevelsAreSubtotals="1" fieldPosition="0"/>
    </format>
    <format dxfId="233">
      <pivotArea field="0" type="button" dataOnly="0" labelOnly="1" outline="0" axis="axisRow" fieldPosition="0"/>
    </format>
    <format dxfId="232">
      <pivotArea dataOnly="0" labelOnly="1" fieldPosition="0">
        <references count="1">
          <reference field="0" count="0"/>
        </references>
      </pivotArea>
    </format>
    <format dxfId="231">
      <pivotArea dataOnly="0" labelOnly="1" grandRow="1" outline="0" fieldPosition="0"/>
    </format>
    <format dxfId="230">
      <pivotArea dataOnly="0" labelOnly="1" outline="0" axis="axisValues" fieldPosition="0"/>
    </format>
    <format dxfId="229">
      <pivotArea dataOnly="0" labelOnly="1" grandRow="1" outline="0" fieldPosition="0"/>
    </format>
    <format dxfId="228">
      <pivotArea grandRow="1" outline="0" collapsedLevelsAreSubtotals="1" fieldPosition="0"/>
    </format>
    <format dxfId="227">
      <pivotArea dataOnly="0" labelOnly="1" grandRow="1" outline="0" fieldPosition="0"/>
    </format>
    <format dxfId="226">
      <pivotArea grandRow="1" outline="0" collapsedLevelsAreSubtotals="1" fieldPosition="0"/>
    </format>
    <format dxfId="225">
      <pivotArea type="all" dataOnly="0" outline="0" fieldPosition="0"/>
    </format>
    <format dxfId="224">
      <pivotArea outline="0" collapsedLevelsAreSubtotals="1" fieldPosition="0"/>
    </format>
    <format dxfId="223">
      <pivotArea field="0" type="button" dataOnly="0" labelOnly="1" outline="0" axis="axisRow" fieldPosition="0"/>
    </format>
    <format dxfId="222">
      <pivotArea dataOnly="0" labelOnly="1" fieldPosition="0">
        <references count="1">
          <reference field="0" count="0"/>
        </references>
      </pivotArea>
    </format>
    <format dxfId="221">
      <pivotArea dataOnly="0" labelOnly="1" grandRow="1" outline="0" fieldPosition="0"/>
    </format>
    <format dxfId="2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CF40C8-BE29-4B4B-ABCF-CF2DDD49E704}" name="PivotTable4"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Alliance Size">
  <location ref="J159:K166" firstHeaderRow="1" firstDataRow="1" firstDataCol="1"/>
  <pivotFields count="6">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items count="7">
        <item x="3"/>
        <item x="0"/>
        <item x="5"/>
        <item x="2"/>
        <item x="4"/>
        <item x="1"/>
        <item t="default"/>
      </items>
    </pivotField>
    <pivotField showAll="0">
      <items count="7">
        <item x="2"/>
        <item x="5"/>
        <item x="1"/>
        <item x="0"/>
        <item x="4"/>
        <item x="3"/>
        <item t="default"/>
      </items>
    </pivotField>
    <pivotField dataField="1" showAll="0"/>
    <pivotField showAll="0"/>
  </pivotFields>
  <rowFields count="1">
    <field x="0"/>
  </rowFields>
  <rowItems count="7">
    <i>
      <x v="5"/>
    </i>
    <i>
      <x v="2"/>
    </i>
    <i>
      <x/>
    </i>
    <i>
      <x v="3"/>
    </i>
    <i>
      <x v="1"/>
    </i>
    <i>
      <x v="4"/>
    </i>
    <i t="grand">
      <x/>
    </i>
  </rowItems>
  <colItems count="1">
    <i/>
  </colItems>
  <dataFields count="1">
    <dataField name="Min of Average Alliance Size Placement" fld="4" subtotal="min" baseField="0" baseItem="0"/>
  </dataFields>
  <formats count="8">
    <format dxfId="153">
      <pivotArea type="all" dataOnly="0" outline="0" fieldPosition="0"/>
    </format>
    <format dxfId="152">
      <pivotArea outline="0" collapsedLevelsAreSubtotals="1" fieldPosition="0"/>
    </format>
    <format dxfId="151">
      <pivotArea field="0" type="button" dataOnly="0" labelOnly="1" outline="0" axis="axisRow" fieldPosition="0"/>
    </format>
    <format dxfId="150">
      <pivotArea dataOnly="0" labelOnly="1" fieldPosition="0">
        <references count="1">
          <reference field="0" count="0"/>
        </references>
      </pivotArea>
    </format>
    <format dxfId="149">
      <pivotArea dataOnly="0" labelOnly="1" grandRow="1" outline="0" fieldPosition="0"/>
    </format>
    <format dxfId="148">
      <pivotArea dataOnly="0" labelOnly="1" outline="0" axis="axisValues" fieldPosition="0"/>
    </format>
    <format dxfId="147">
      <pivotArea field="0" type="button" dataOnly="0" labelOnly="1" outline="0" axis="axisRow" fieldPosition="0"/>
    </format>
    <format dxfId="14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60F8F4-55F1-4A90-8B88-0B24F24D3A4E}" name="PivotTable3"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lliance Name">
  <location ref="N149:O253" firstHeaderRow="1" firstDataRow="1" firstDataCol="1"/>
  <pivotFields count="7">
    <pivotField axis="axisRow" showAll="0" sortType="descending">
      <items count="105">
        <item x="6"/>
        <item x="51"/>
        <item x="74"/>
        <item x="14"/>
        <item x="15"/>
        <item x="96"/>
        <item x="3"/>
        <item x="16"/>
        <item x="77"/>
        <item x="72"/>
        <item x="8"/>
        <item x="10"/>
        <item x="99"/>
        <item x="88"/>
        <item x="93"/>
        <item x="81"/>
        <item x="82"/>
        <item x="32"/>
        <item x="71"/>
        <item x="36"/>
        <item x="30"/>
        <item x="79"/>
        <item x="48"/>
        <item x="57"/>
        <item x="44"/>
        <item x="23"/>
        <item x="86"/>
        <item x="90"/>
        <item x="64"/>
        <item x="0"/>
        <item x="31"/>
        <item x="21"/>
        <item x="75"/>
        <item x="24"/>
        <item x="45"/>
        <item x="50"/>
        <item x="83"/>
        <item x="68"/>
        <item x="59"/>
        <item x="92"/>
        <item x="13"/>
        <item x="1"/>
        <item x="61"/>
        <item x="102"/>
        <item x="84"/>
        <item x="19"/>
        <item x="12"/>
        <item x="46"/>
        <item x="17"/>
        <item x="43"/>
        <item x="7"/>
        <item x="22"/>
        <item x="80"/>
        <item x="58"/>
        <item x="42"/>
        <item x="18"/>
        <item x="52"/>
        <item x="49"/>
        <item x="66"/>
        <item x="76"/>
        <item x="4"/>
        <item x="11"/>
        <item x="97"/>
        <item x="73"/>
        <item x="70"/>
        <item x="26"/>
        <item x="100"/>
        <item x="91"/>
        <item x="60"/>
        <item x="9"/>
        <item x="25"/>
        <item x="34"/>
        <item x="40"/>
        <item m="1" x="103"/>
        <item x="98"/>
        <item x="47"/>
        <item x="94"/>
        <item x="65"/>
        <item x="28"/>
        <item x="2"/>
        <item x="55"/>
        <item x="53"/>
        <item x="63"/>
        <item x="54"/>
        <item x="85"/>
        <item x="41"/>
        <item x="39"/>
        <item x="20"/>
        <item x="69"/>
        <item x="89"/>
        <item x="87"/>
        <item x="27"/>
        <item x="62"/>
        <item x="67"/>
        <item x="95"/>
        <item x="5"/>
        <item x="78"/>
        <item x="38"/>
        <item x="101"/>
        <item x="29"/>
        <item x="33"/>
        <item x="35"/>
        <item x="37"/>
        <item x="5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s>
  <rowFields count="1">
    <field x="0"/>
  </rowFields>
  <rowItems count="104">
    <i>
      <x v="29"/>
    </i>
    <i>
      <x v="46"/>
    </i>
    <i>
      <x v="41"/>
    </i>
    <i>
      <x v="64"/>
    </i>
    <i>
      <x v="86"/>
    </i>
    <i>
      <x v="9"/>
    </i>
    <i>
      <x v="18"/>
    </i>
    <i>
      <x v="72"/>
    </i>
    <i>
      <x v="85"/>
    </i>
    <i>
      <x v="63"/>
    </i>
    <i>
      <x v="54"/>
    </i>
    <i>
      <x v="2"/>
    </i>
    <i>
      <x v="27"/>
    </i>
    <i>
      <x v="40"/>
    </i>
    <i>
      <x v="79"/>
    </i>
    <i>
      <x v="49"/>
    </i>
    <i>
      <x v="32"/>
    </i>
    <i>
      <x v="3"/>
    </i>
    <i>
      <x v="24"/>
    </i>
    <i>
      <x v="6"/>
    </i>
    <i>
      <x v="34"/>
    </i>
    <i>
      <x v="4"/>
    </i>
    <i>
      <x v="7"/>
    </i>
    <i>
      <x v="48"/>
    </i>
    <i>
      <x v="55"/>
    </i>
    <i>
      <x v="45"/>
    </i>
    <i>
      <x v="75"/>
    </i>
    <i>
      <x v="47"/>
    </i>
    <i>
      <x v="87"/>
    </i>
    <i>
      <x v="22"/>
    </i>
    <i>
      <x v="66"/>
    </i>
    <i>
      <x v="67"/>
    </i>
    <i>
      <x v="60"/>
    </i>
    <i>
      <x v="31"/>
    </i>
    <i>
      <x v="39"/>
    </i>
    <i>
      <x v="59"/>
    </i>
    <i>
      <x v="8"/>
    </i>
    <i>
      <x v="51"/>
    </i>
    <i>
      <x v="95"/>
    </i>
    <i>
      <x v="14"/>
    </i>
    <i>
      <x v="57"/>
    </i>
    <i>
      <x v="1"/>
    </i>
    <i>
      <x v="35"/>
    </i>
    <i>
      <x v="50"/>
    </i>
    <i>
      <x v="96"/>
    </i>
    <i>
      <x/>
    </i>
    <i>
      <x v="25"/>
    </i>
    <i>
      <x v="33"/>
    </i>
    <i>
      <x v="98"/>
    </i>
    <i>
      <x v="76"/>
    </i>
    <i>
      <x v="52"/>
    </i>
    <i>
      <x v="43"/>
    </i>
    <i>
      <x v="70"/>
    </i>
    <i>
      <x v="56"/>
    </i>
    <i>
      <x v="10"/>
    </i>
    <i>
      <x v="94"/>
    </i>
    <i>
      <x v="83"/>
    </i>
    <i>
      <x v="81"/>
    </i>
    <i>
      <x v="15"/>
    </i>
    <i>
      <x v="65"/>
    </i>
    <i>
      <x v="16"/>
    </i>
    <i>
      <x v="91"/>
    </i>
    <i>
      <x v="80"/>
    </i>
    <i>
      <x v="5"/>
    </i>
    <i>
      <x v="78"/>
    </i>
    <i>
      <x v="62"/>
    </i>
    <i>
      <x v="74"/>
    </i>
    <i>
      <x v="36"/>
    </i>
    <i>
      <x v="69"/>
    </i>
    <i>
      <x v="23"/>
    </i>
    <i>
      <x v="103"/>
    </i>
    <i>
      <x v="44"/>
    </i>
    <i>
      <x v="84"/>
    </i>
    <i>
      <x v="12"/>
    </i>
    <i>
      <x v="26"/>
    </i>
    <i>
      <x v="99"/>
    </i>
    <i>
      <x v="53"/>
    </i>
    <i>
      <x v="21"/>
    </i>
    <i>
      <x v="20"/>
    </i>
    <i>
      <x v="68"/>
    </i>
    <i>
      <x v="38"/>
    </i>
    <i>
      <x v="90"/>
    </i>
    <i>
      <x v="30"/>
    </i>
    <i>
      <x v="17"/>
    </i>
    <i>
      <x v="42"/>
    </i>
    <i>
      <x v="13"/>
    </i>
    <i>
      <x v="82"/>
    </i>
    <i>
      <x v="92"/>
    </i>
    <i>
      <x v="89"/>
    </i>
    <i>
      <x v="28"/>
    </i>
    <i>
      <x v="77"/>
    </i>
    <i>
      <x v="100"/>
    </i>
    <i>
      <x v="93"/>
    </i>
    <i>
      <x v="58"/>
    </i>
    <i>
      <x v="37"/>
    </i>
    <i>
      <x v="88"/>
    </i>
    <i>
      <x v="101"/>
    </i>
    <i>
      <x v="71"/>
    </i>
    <i>
      <x v="11"/>
    </i>
    <i>
      <x v="102"/>
    </i>
    <i>
      <x v="19"/>
    </i>
    <i>
      <x v="97"/>
    </i>
    <i>
      <x v="61"/>
    </i>
    <i t="grand">
      <x/>
    </i>
  </rowItems>
  <colItems count="1">
    <i/>
  </colItems>
  <dataFields count="1">
    <dataField name="Min of Average Placement of Alliance" fld="5" subtotal="min" baseField="0" baseItem="0"/>
  </dataFields>
  <formats count="9">
    <format dxfId="162">
      <pivotArea field="0" type="button" dataOnly="0" labelOnly="1" outline="0" axis="axisRow" fieldPosition="0"/>
    </format>
    <format dxfId="161">
      <pivotArea dataOnly="0" labelOnly="1" outline="0" fieldPosition="0">
        <references count="1">
          <reference field="4294967294" count="1">
            <x v="0"/>
          </reference>
        </references>
      </pivotArea>
    </format>
    <format dxfId="160">
      <pivotArea type="all" dataOnly="0" outline="0" fieldPosition="0"/>
    </format>
    <format dxfId="159">
      <pivotArea outline="0" collapsedLevelsAreSubtotals="1" fieldPosition="0"/>
    </format>
    <format dxfId="158">
      <pivotArea field="0" type="button" dataOnly="0" labelOnly="1" outline="0" axis="axisRow" fieldPosition="0"/>
    </format>
    <format dxfId="157">
      <pivotArea dataOnly="0" labelOnly="1" grandRow="1" outline="0" fieldPosition="0"/>
    </format>
    <format dxfId="156">
      <pivotArea dataOnly="0" labelOnly="1" outline="0" fieldPosition="0">
        <references count="1">
          <reference field="4294967294" count="1">
            <x v="0"/>
          </reference>
        </references>
      </pivotArea>
    </format>
    <format dxfId="155">
      <pivotArea grandRow="1" outline="0" collapsedLevelsAreSubtotals="1" fieldPosition="0"/>
    </format>
    <format dxfId="154">
      <pivotArea dataOnly="0" fieldPosition="0">
        <references count="1">
          <reference field="0"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1BE760-0C12-4CEE-BFAD-8AC39E7ABD25}" name="PivotTable1"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lliance Size">
  <location ref="J149:K156" firstHeaderRow="1" firstDataRow="1" firstDataCol="1"/>
  <pivotFields count="6">
    <pivotField axis="axisRow" showAll="0">
      <items count="7">
        <item x="0"/>
        <item x="1"/>
        <item x="2"/>
        <item x="3"/>
        <item x="4"/>
        <item x="5"/>
        <item t="default"/>
      </items>
    </pivotField>
    <pivotField dataField="1" showAll="0"/>
    <pivotField showAll="0"/>
    <pivotField showAll="0"/>
    <pivotField showAll="0"/>
    <pivotField showAll="0"/>
  </pivotFields>
  <rowFields count="1">
    <field x="0"/>
  </rowFields>
  <rowItems count="7">
    <i>
      <x/>
    </i>
    <i>
      <x v="1"/>
    </i>
    <i>
      <x v="2"/>
    </i>
    <i>
      <x v="3"/>
    </i>
    <i>
      <x v="4"/>
    </i>
    <i>
      <x v="5"/>
    </i>
    <i t="grand">
      <x/>
    </i>
  </rowItems>
  <colItems count="1">
    <i/>
  </colItems>
  <dataFields count="1">
    <dataField name="Sum of Count of Alliances" fld="1" baseField="0" baseItem="0"/>
  </dataFields>
  <formats count="10">
    <format dxfId="172">
      <pivotArea type="all" dataOnly="0" outline="0" fieldPosition="0"/>
    </format>
    <format dxfId="171">
      <pivotArea outline="0" collapsedLevelsAreSubtotals="1" fieldPosition="0"/>
    </format>
    <format dxfId="170">
      <pivotArea field="0" type="button" dataOnly="0" labelOnly="1" outline="0" axis="axisRow" fieldPosition="0"/>
    </format>
    <format dxfId="169">
      <pivotArea dataOnly="0" labelOnly="1" fieldPosition="0">
        <references count="1">
          <reference field="0" count="0"/>
        </references>
      </pivotArea>
    </format>
    <format dxfId="168">
      <pivotArea dataOnly="0" labelOnly="1" grandRow="1" outline="0" fieldPosition="0"/>
    </format>
    <format dxfId="167">
      <pivotArea dataOnly="0" labelOnly="1" outline="0" axis="axisValues" fieldPosition="0"/>
    </format>
    <format dxfId="166">
      <pivotArea field="0" type="button" dataOnly="0" labelOnly="1" outline="0" axis="axisRow" fieldPosition="0"/>
    </format>
    <format dxfId="165">
      <pivotArea dataOnly="0" labelOnly="1" outline="0" axis="axisValues" fieldPosition="0"/>
    </format>
    <format dxfId="164">
      <pivotArea outline="0" collapsedLevelsAreSubtotals="1" fieldPosition="0"/>
    </format>
    <format dxfId="16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7B79EE3-AB9E-49C1-8539-0A42CE9A9793}" name="PivotTable10"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45:D552" firstHeaderRow="0" firstDataRow="1" firstDataCol="1"/>
  <pivotFields count="4">
    <pivotField axis="axisRow" showAll="0">
      <items count="122">
        <item x="2"/>
        <item x="29"/>
        <item x="77"/>
        <item x="34"/>
        <item x="78"/>
        <item x="102"/>
        <item x="37"/>
        <item x="79"/>
        <item x="117"/>
        <item x="68"/>
        <item x="44"/>
        <item x="38"/>
        <item x="118"/>
        <item x="66"/>
        <item x="3"/>
        <item x="52"/>
        <item x="50"/>
        <item x="35"/>
        <item x="12"/>
        <item x="13"/>
        <item x="14"/>
        <item x="98"/>
        <item x="103"/>
        <item x="74"/>
        <item x="61"/>
        <item x="80"/>
        <item x="72"/>
        <item x="15"/>
        <item x="16"/>
        <item x="81"/>
        <item x="114"/>
        <item x="58"/>
        <item x="45"/>
        <item x="104"/>
        <item x="92"/>
        <item x="70"/>
        <item x="101"/>
        <item x="31"/>
        <item x="73"/>
        <item x="53"/>
        <item x="82"/>
        <item x="83"/>
        <item x="93"/>
        <item x="54"/>
        <item x="17"/>
        <item x="4"/>
        <item x="94"/>
        <item x="107"/>
        <item x="18"/>
        <item x="19"/>
        <item x="30"/>
        <item x="5"/>
        <item x="6"/>
        <item x="55"/>
        <item x="84"/>
        <item x="85"/>
        <item x="86"/>
        <item x="7"/>
        <item x="20"/>
        <item x="32"/>
        <item x="21"/>
        <item x="56"/>
        <item x="87"/>
        <item x="62"/>
        <item x="71"/>
        <item x="57"/>
        <item x="27"/>
        <item x="63"/>
        <item x="22"/>
        <item x="112"/>
        <item x="46"/>
        <item x="96"/>
        <item x="42"/>
        <item x="8"/>
        <item x="99"/>
        <item x="60"/>
        <item x="39"/>
        <item x="119"/>
        <item x="9"/>
        <item x="36"/>
        <item x="0"/>
        <item x="88"/>
        <item x="95"/>
        <item x="105"/>
        <item x="89"/>
        <item x="69"/>
        <item x="10"/>
        <item x="76"/>
        <item x="110"/>
        <item x="23"/>
        <item x="64"/>
        <item x="116"/>
        <item x="106"/>
        <item x="1"/>
        <item x="47"/>
        <item x="24"/>
        <item x="33"/>
        <item x="28"/>
        <item x="100"/>
        <item x="40"/>
        <item x="67"/>
        <item x="65"/>
        <item x="41"/>
        <item x="43"/>
        <item x="49"/>
        <item x="115"/>
        <item x="75"/>
        <item x="25"/>
        <item x="48"/>
        <item x="97"/>
        <item x="11"/>
        <item x="51"/>
        <item x="120"/>
        <item x="26"/>
        <item x="90"/>
        <item x="111"/>
        <item x="109"/>
        <item x="108"/>
        <item x="59"/>
        <item x="91"/>
        <item x="113"/>
        <item t="default"/>
      </items>
    </pivotField>
    <pivotField axis="axisRow" showAll="0">
      <items count="7">
        <item sd="0" x="3"/>
        <item sd="0" x="1"/>
        <item sd="0" x="4"/>
        <item sd="0" x="0"/>
        <item sd="0" x="5"/>
        <item sd="0" x="2"/>
        <item t="default"/>
      </items>
    </pivotField>
    <pivotField dataField="1" numFmtId="9" showAll="0"/>
    <pivotField dataField="1" numFmtId="9" showAll="0"/>
  </pivotFields>
  <rowFields count="2">
    <field x="1"/>
    <field x="0"/>
  </rowFields>
  <rowItems count="7">
    <i>
      <x/>
    </i>
    <i>
      <x v="1"/>
    </i>
    <i>
      <x v="2"/>
    </i>
    <i>
      <x v="3"/>
    </i>
    <i>
      <x v="4"/>
    </i>
    <i>
      <x v="5"/>
    </i>
    <i t="grand">
      <x/>
    </i>
  </rowItems>
  <colFields count="1">
    <field x="-2"/>
  </colFields>
  <colItems count="2">
    <i>
      <x/>
    </i>
    <i i="1">
      <x v="1"/>
    </i>
  </colItems>
  <dataFields count="2">
    <dataField name="Average of % Male Winners" fld="2" subtotal="average" baseField="1" baseItem="0"/>
    <dataField name="Average of % Female Winners" fld="3" subtotal="average" baseField="1" baseItem="0"/>
  </dataFields>
  <formats count="12">
    <format dxfId="53">
      <pivotArea outline="0" collapsedLevelsAreSubtotals="1" fieldPosition="0"/>
    </format>
    <format dxfId="10">
      <pivotArea field="1" type="button" dataOnly="0" labelOnly="1" outline="0" axis="axisRow" fieldPosition="0"/>
    </format>
    <format dxfId="9">
      <pivotArea dataOnly="0" labelOnly="1" outline="0" fieldPosition="0">
        <references count="1">
          <reference field="4294967294" count="2">
            <x v="0"/>
            <x v="1"/>
          </reference>
        </references>
      </pivotArea>
    </format>
    <format dxfId="8">
      <pivotArea grandRow="1" outline="0" collapsedLevelsAreSubtotals="1" fieldPosition="0"/>
    </format>
    <format dxfId="7">
      <pivotArea dataOnly="0" labelOnly="1" grandRow="1" outline="0" fieldPosition="0"/>
    </format>
    <format dxfId="6">
      <pivotArea collapsedLevelsAreSubtotals="1" fieldPosition="0">
        <references count="1">
          <reference field="1" count="1">
            <x v="0"/>
          </reference>
        </references>
      </pivotArea>
    </format>
    <format dxfId="5">
      <pivotArea collapsedLevelsAreSubtotals="1" fieldPosition="0">
        <references count="1">
          <reference field="1" count="1">
            <x v="1"/>
          </reference>
        </references>
      </pivotArea>
    </format>
    <format dxfId="4">
      <pivotArea collapsedLevelsAreSubtotals="1" fieldPosition="0">
        <references count="1">
          <reference field="1" count="1">
            <x v="2"/>
          </reference>
        </references>
      </pivotArea>
    </format>
    <format dxfId="3">
      <pivotArea collapsedLevelsAreSubtotals="1" fieldPosition="0">
        <references count="1">
          <reference field="1" count="1">
            <x v="3"/>
          </reference>
        </references>
      </pivotArea>
    </format>
    <format dxfId="2">
      <pivotArea collapsedLevelsAreSubtotals="1" fieldPosition="0">
        <references count="1">
          <reference field="1" count="1">
            <x v="4"/>
          </reference>
        </references>
      </pivotArea>
    </format>
    <format dxfId="1">
      <pivotArea collapsedLevelsAreSubtotals="1" fieldPosition="0">
        <references count="1">
          <reference field="1" count="1">
            <x v="5"/>
          </reference>
        </references>
      </pivotArea>
    </format>
    <format dxfId="0">
      <pivotArea dataOnly="0" labelOnly="1" fieldPosition="0">
        <references count="1">
          <reference field="1" count="0"/>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4AE06A9-0FBF-4677-93BF-9F03DA0E908F}" name="PivotTable3"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emographic">
  <location ref="B505:D514" firstHeaderRow="0" firstDataRow="1" firstDataCol="1"/>
  <pivotFields count="3">
    <pivotField axis="axisRow" showAll="0" sortType="descending">
      <items count="10">
        <item x="3"/>
        <item x="7"/>
        <item x="5"/>
        <item x="1"/>
        <item x="2"/>
        <item x="6"/>
        <item x="4"/>
        <item x="0"/>
        <item n="hi" h="1" x="8"/>
        <item t="default"/>
      </items>
      <autoSortScope>
        <pivotArea dataOnly="0" outline="0" fieldPosition="0">
          <references count="1">
            <reference field="4294967294" count="1" selected="0">
              <x v="1"/>
            </reference>
          </references>
        </pivotArea>
      </autoSortScope>
    </pivotField>
    <pivotField dataField="1" showAll="0"/>
    <pivotField dataField="1" numFmtId="9" showAll="0"/>
  </pivotFields>
  <rowFields count="1">
    <field x="0"/>
  </rowFields>
  <rowItems count="9">
    <i>
      <x v="7"/>
    </i>
    <i>
      <x v="3"/>
    </i>
    <i>
      <x v="4"/>
    </i>
    <i>
      <x v="6"/>
    </i>
    <i>
      <x/>
    </i>
    <i>
      <x v="2"/>
    </i>
    <i>
      <x v="5"/>
    </i>
    <i>
      <x v="1"/>
    </i>
    <i t="grand">
      <x/>
    </i>
  </rowItems>
  <colFields count="1">
    <field x="-2"/>
  </colFields>
  <colItems count="2">
    <i>
      <x/>
    </i>
    <i i="1">
      <x v="1"/>
    </i>
  </colItems>
  <dataFields count="2">
    <dataField name="Sum of Number Of Winners" fld="1" baseField="0" baseItem="0"/>
    <dataField name="Average of Win Percentage by Demographic" fld="2" subtotal="average" baseField="0" baseItem="7"/>
  </dataFields>
  <formats count="12">
    <format dxfId="87">
      <pivotArea collapsedLevelsAreSubtotals="1" fieldPosition="0">
        <references count="2">
          <reference field="4294967294" count="1" selected="0">
            <x v="1"/>
          </reference>
          <reference field="0" count="8">
            <x v="0"/>
            <x v="1"/>
            <x v="2"/>
            <x v="3"/>
            <x v="4"/>
            <x v="5"/>
            <x v="6"/>
            <x v="7"/>
          </reference>
        </references>
      </pivotArea>
    </format>
    <format dxfId="86">
      <pivotArea dataOnly="0" labelOnly="1" outline="0" fieldPosition="0">
        <references count="1">
          <reference field="4294967294" count="1">
            <x v="1"/>
          </reference>
        </references>
      </pivotArea>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fieldPosition="0">
        <references count="1">
          <reference field="4294967294" count="2">
            <x v="0"/>
            <x v="1"/>
          </reference>
        </references>
      </pivotArea>
    </format>
    <format dxfId="79">
      <pivotArea field="0" type="button" dataOnly="0" labelOnly="1" outline="0" axis="axisRow" fieldPosition="0"/>
    </format>
    <format dxfId="78">
      <pivotArea dataOnly="0" labelOnly="1" outline="0" fieldPosition="0">
        <references count="1">
          <reference field="4294967294" count="2">
            <x v="0"/>
            <x v="1"/>
          </reference>
        </references>
      </pivotArea>
    </format>
    <format dxfId="77">
      <pivotArea grandRow="1" outline="0" collapsedLevelsAreSubtotals="1" fieldPosition="0"/>
    </format>
    <format dxfId="76">
      <pivotArea dataOnly="0" labelOnly="1" grandRow="1" outline="0" fieldPosition="0"/>
    </format>
  </formats>
  <chartFormats count="1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pivotArea type="data" outline="0" fieldPosition="0">
        <references count="2">
          <reference field="4294967294" count="1" selected="0">
            <x v="0"/>
          </reference>
          <reference field="0" count="1" selected="0">
            <x v="7"/>
          </reference>
        </references>
      </pivotArea>
    </chartFormat>
    <chartFormat chart="2" format="3">
      <pivotArea type="data" outline="0" fieldPosition="0">
        <references count="2">
          <reference field="4294967294" count="1" selected="0">
            <x v="0"/>
          </reference>
          <reference field="0" count="1" selected="0">
            <x v="3"/>
          </reference>
        </references>
      </pivotArea>
    </chartFormat>
    <chartFormat chart="2" format="4">
      <pivotArea type="data" outline="0" fieldPosition="0">
        <references count="2">
          <reference field="4294967294" count="1" selected="0">
            <x v="0"/>
          </reference>
          <reference field="0" count="1" selected="0">
            <x v="4"/>
          </reference>
        </references>
      </pivotArea>
    </chartFormat>
    <chartFormat chart="2" format="5">
      <pivotArea type="data" outline="0" fieldPosition="0">
        <references count="2">
          <reference field="4294967294" count="1" selected="0">
            <x v="0"/>
          </reference>
          <reference field="0" count="1" selected="0">
            <x v="6"/>
          </reference>
        </references>
      </pivotArea>
    </chartFormat>
    <chartFormat chart="2" format="6">
      <pivotArea type="data" outline="0" fieldPosition="0">
        <references count="2">
          <reference field="4294967294" count="1" selected="0">
            <x v="0"/>
          </reference>
          <reference field="0" count="1" selected="0">
            <x v="0"/>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2" format="8">
      <pivotArea type="data" outline="0" fieldPosition="0">
        <references count="2">
          <reference field="4294967294" count="1" selected="0">
            <x v="0"/>
          </reference>
          <reference field="0" count="1" selected="0">
            <x v="5"/>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 chart="2" format="10">
      <pivotArea type="data" outline="0" fieldPosition="0">
        <references count="2">
          <reference field="4294967294" count="1" selected="0">
            <x v="1"/>
          </reference>
          <reference field="0" count="1" selected="0">
            <x v="7"/>
          </reference>
        </references>
      </pivotArea>
    </chartFormat>
    <chartFormat chart="2" format="11">
      <pivotArea type="data" outline="0" fieldPosition="0">
        <references count="2">
          <reference field="4294967294" count="1" selected="0">
            <x v="1"/>
          </reference>
          <reference field="0" count="1" selected="0">
            <x v="3"/>
          </reference>
        </references>
      </pivotArea>
    </chartFormat>
    <chartFormat chart="2" format="12">
      <pivotArea type="data" outline="0" fieldPosition="0">
        <references count="2">
          <reference field="4294967294" count="1" selected="0">
            <x v="1"/>
          </reference>
          <reference field="0" count="1" selected="0">
            <x v="4"/>
          </reference>
        </references>
      </pivotArea>
    </chartFormat>
    <chartFormat chart="2" format="13">
      <pivotArea type="data" outline="0" fieldPosition="0">
        <references count="2">
          <reference field="4294967294" count="1" selected="0">
            <x v="1"/>
          </reference>
          <reference field="0" count="1" selected="0">
            <x v="6"/>
          </reference>
        </references>
      </pivotArea>
    </chartFormat>
    <chartFormat chart="2" format="14">
      <pivotArea type="data" outline="0" fieldPosition="0">
        <references count="2">
          <reference field="4294967294" count="1" selected="0">
            <x v="1"/>
          </reference>
          <reference field="0" count="1" selected="0">
            <x v="0"/>
          </reference>
        </references>
      </pivotArea>
    </chartFormat>
    <chartFormat chart="2" format="15">
      <pivotArea type="data" outline="0" fieldPosition="0">
        <references count="2">
          <reference field="4294967294" count="1" selected="0">
            <x v="1"/>
          </reference>
          <reference field="0" count="1" selected="0">
            <x v="2"/>
          </reference>
        </references>
      </pivotArea>
    </chartFormat>
    <chartFormat chart="2" format="16">
      <pivotArea type="data" outline="0" fieldPosition="0">
        <references count="2">
          <reference field="4294967294" count="1" selected="0">
            <x v="1"/>
          </reference>
          <reference field="0" count="1" selected="0">
            <x v="5"/>
          </reference>
        </references>
      </pivotArea>
    </chartFormat>
    <chartFormat chart="2" format="17">
      <pivotArea type="data" outline="0" fieldPosition="0">
        <references count="2">
          <reference field="4294967294" count="1" selected="0">
            <x v="1"/>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7A7486-1F33-4D23-BAE4-C4912BE7C1D7}" name="PivotTable5"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hallenge Name">
  <location ref="J471:L541" firstHeaderRow="0" firstDataRow="1" firstDataCol="1"/>
  <pivotFields count="3">
    <pivotField axis="axisRow" showAll="0" sortType="descending">
      <items count="70">
        <item x="63"/>
        <item x="61"/>
        <item x="15"/>
        <item x="54"/>
        <item x="25"/>
        <item x="51"/>
        <item x="57"/>
        <item x="28"/>
        <item x="42"/>
        <item x="45"/>
        <item x="58"/>
        <item x="17"/>
        <item x="12"/>
        <item x="31"/>
        <item x="1"/>
        <item x="38"/>
        <item x="50"/>
        <item x="11"/>
        <item x="23"/>
        <item x="26"/>
        <item x="9"/>
        <item x="62"/>
        <item x="40"/>
        <item x="22"/>
        <item x="41"/>
        <item x="21"/>
        <item x="10"/>
        <item x="65"/>
        <item x="46"/>
        <item x="66"/>
        <item x="39"/>
        <item x="30"/>
        <item x="24"/>
        <item x="37"/>
        <item x="68"/>
        <item x="33"/>
        <item x="2"/>
        <item x="47"/>
        <item x="20"/>
        <item x="55"/>
        <item x="14"/>
        <item x="36"/>
        <item x="60"/>
        <item x="56"/>
        <item x="18"/>
        <item x="8"/>
        <item x="27"/>
        <item x="5"/>
        <item x="34"/>
        <item x="7"/>
        <item x="49"/>
        <item x="64"/>
        <item x="67"/>
        <item x="13"/>
        <item x="59"/>
        <item x="29"/>
        <item x="32"/>
        <item x="53"/>
        <item x="52"/>
        <item x="44"/>
        <item x="0"/>
        <item x="48"/>
        <item x="19"/>
        <item x="43"/>
        <item x="4"/>
        <item x="6"/>
        <item x="16"/>
        <item x="35"/>
        <item x="3"/>
        <item t="default"/>
      </items>
      <autoSortScope>
        <pivotArea dataOnly="0" outline="0" fieldPosition="0">
          <references count="1">
            <reference field="4294967294" count="1" selected="0">
              <x v="0"/>
            </reference>
          </references>
        </pivotArea>
      </autoSortScope>
    </pivotField>
    <pivotField dataField="1" numFmtId="9" showAll="0"/>
    <pivotField dataField="1" numFmtId="9" showAll="0"/>
  </pivotFields>
  <rowFields count="1">
    <field x="0"/>
  </rowFields>
  <rowItems count="70">
    <i>
      <x v="34"/>
    </i>
    <i>
      <x v="52"/>
    </i>
    <i>
      <x v="29"/>
    </i>
    <i>
      <x v="51"/>
    </i>
    <i>
      <x v="21"/>
    </i>
    <i>
      <x v="27"/>
    </i>
    <i>
      <x/>
    </i>
    <i>
      <x v="1"/>
    </i>
    <i>
      <x v="10"/>
    </i>
    <i>
      <x v="6"/>
    </i>
    <i>
      <x v="43"/>
    </i>
    <i>
      <x v="3"/>
    </i>
    <i>
      <x v="54"/>
    </i>
    <i>
      <x v="57"/>
    </i>
    <i>
      <x v="39"/>
    </i>
    <i>
      <x v="42"/>
    </i>
    <i>
      <x v="58"/>
    </i>
    <i>
      <x v="5"/>
    </i>
    <i>
      <x v="50"/>
    </i>
    <i>
      <x v="61"/>
    </i>
    <i>
      <x v="16"/>
    </i>
    <i>
      <x v="37"/>
    </i>
    <i>
      <x v="9"/>
    </i>
    <i>
      <x v="59"/>
    </i>
    <i>
      <x v="30"/>
    </i>
    <i>
      <x v="24"/>
    </i>
    <i>
      <x v="22"/>
    </i>
    <i>
      <x v="8"/>
    </i>
    <i>
      <x v="28"/>
    </i>
    <i>
      <x v="63"/>
    </i>
    <i>
      <x v="15"/>
    </i>
    <i>
      <x v="41"/>
    </i>
    <i>
      <x v="67"/>
    </i>
    <i>
      <x v="33"/>
    </i>
    <i>
      <x v="31"/>
    </i>
    <i>
      <x v="56"/>
    </i>
    <i>
      <x v="48"/>
    </i>
    <i>
      <x v="35"/>
    </i>
    <i>
      <x v="13"/>
    </i>
    <i>
      <x v="7"/>
    </i>
    <i>
      <x v="55"/>
    </i>
    <i>
      <x v="19"/>
    </i>
    <i>
      <x v="46"/>
    </i>
    <i>
      <x v="4"/>
    </i>
    <i>
      <x v="32"/>
    </i>
    <i>
      <x v="18"/>
    </i>
    <i>
      <x v="23"/>
    </i>
    <i>
      <x v="25"/>
    </i>
    <i>
      <x v="44"/>
    </i>
    <i>
      <x v="38"/>
    </i>
    <i>
      <x v="62"/>
    </i>
    <i>
      <x v="11"/>
    </i>
    <i>
      <x v="20"/>
    </i>
    <i>
      <x v="2"/>
    </i>
    <i>
      <x v="26"/>
    </i>
    <i>
      <x v="66"/>
    </i>
    <i>
      <x v="12"/>
    </i>
    <i>
      <x v="53"/>
    </i>
    <i>
      <x v="49"/>
    </i>
    <i>
      <x v="40"/>
    </i>
    <i>
      <x v="17"/>
    </i>
    <i>
      <x v="45"/>
    </i>
    <i>
      <x v="65"/>
    </i>
    <i>
      <x v="47"/>
    </i>
    <i>
      <x v="64"/>
    </i>
    <i>
      <x v="68"/>
    </i>
    <i>
      <x v="36"/>
    </i>
    <i>
      <x v="60"/>
    </i>
    <i>
      <x v="14"/>
    </i>
    <i t="grand">
      <x/>
    </i>
  </rowItems>
  <colFields count="1">
    <field x="-2"/>
  </colFields>
  <colItems count="2">
    <i>
      <x/>
    </i>
    <i i="1">
      <x v="1"/>
    </i>
  </colItems>
  <dataFields count="2">
    <dataField name="Sum of Male Win %" fld="1" baseField="0" baseItem="0"/>
    <dataField name="Sum of Female Win %" fld="2" baseField="0" baseItem="0"/>
  </dataFields>
  <formats count="9">
    <format dxfId="96">
      <pivotArea collapsedLevelsAreSubtotals="1" fieldPosition="0">
        <references count="1">
          <reference field="0" count="0"/>
        </references>
      </pivotArea>
    </format>
    <format dxfId="95">
      <pivotArea field="0" type="button" dataOnly="0" labelOnly="1" outline="0" axis="axisRow" fieldPosition="0"/>
    </format>
    <format dxfId="94">
      <pivotArea dataOnly="0" labelOnly="1" outline="0" fieldPosition="0">
        <references count="1">
          <reference field="4294967294" count="2">
            <x v="0"/>
            <x v="1"/>
          </reference>
        </references>
      </pivotArea>
    </format>
    <format dxfId="93">
      <pivotArea outline="0" collapsedLevelsAreSubtotals="1" fieldPosition="0"/>
    </format>
    <format dxfId="92">
      <pivotArea dataOnly="0" labelOnly="1" fieldPosition="0">
        <references count="1">
          <reference field="0" count="50">
            <x v="0"/>
            <x v="1"/>
            <x v="3"/>
            <x v="4"/>
            <x v="5"/>
            <x v="6"/>
            <x v="7"/>
            <x v="8"/>
            <x v="9"/>
            <x v="10"/>
            <x v="13"/>
            <x v="15"/>
            <x v="16"/>
            <x v="18"/>
            <x v="19"/>
            <x v="21"/>
            <x v="22"/>
            <x v="23"/>
            <x v="24"/>
            <x v="25"/>
            <x v="27"/>
            <x v="28"/>
            <x v="29"/>
            <x v="30"/>
            <x v="31"/>
            <x v="32"/>
            <x v="33"/>
            <x v="34"/>
            <x v="35"/>
            <x v="37"/>
            <x v="38"/>
            <x v="39"/>
            <x v="41"/>
            <x v="42"/>
            <x v="43"/>
            <x v="44"/>
            <x v="46"/>
            <x v="48"/>
            <x v="50"/>
            <x v="51"/>
            <x v="52"/>
            <x v="54"/>
            <x v="55"/>
            <x v="56"/>
            <x v="57"/>
            <x v="58"/>
            <x v="59"/>
            <x v="61"/>
            <x v="63"/>
            <x v="67"/>
          </reference>
        </references>
      </pivotArea>
    </format>
    <format dxfId="91">
      <pivotArea dataOnly="0" labelOnly="1" fieldPosition="0">
        <references count="1">
          <reference field="0" count="19">
            <x v="2"/>
            <x v="11"/>
            <x v="12"/>
            <x v="14"/>
            <x v="17"/>
            <x v="20"/>
            <x v="26"/>
            <x v="36"/>
            <x v="40"/>
            <x v="45"/>
            <x v="47"/>
            <x v="49"/>
            <x v="53"/>
            <x v="60"/>
            <x v="62"/>
            <x v="64"/>
            <x v="65"/>
            <x v="66"/>
            <x v="68"/>
          </reference>
        </references>
      </pivotArea>
    </format>
    <format dxfId="90">
      <pivotArea dataOnly="0" labelOnly="1" grandRow="1" outline="0" fieldPosition="0"/>
    </format>
    <format dxfId="89">
      <pivotArea grandRow="1" outline="0" collapsedLevelsAreSubtotals="1" fieldPosition="0"/>
    </format>
    <format dxfId="88">
      <pivotArea dataOnly="0" labelOnly="1" grandRow="1" outline="0"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4629FC7-7E76-402B-9E48-920B4C69C5F3}" name="PivotTable2" cacheId="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Occurrences and Winners">
  <location ref="Q283:S405" firstHeaderRow="0" firstDataRow="1" firstDataCol="1"/>
  <pivotFields count="10">
    <pivotField axis="axisRow" showAll="0">
      <items count="122">
        <item x="64"/>
        <item x="1"/>
        <item x="84"/>
        <item x="4"/>
        <item x="85"/>
        <item x="39"/>
        <item x="20"/>
        <item x="86"/>
        <item x="87"/>
        <item x="16"/>
        <item x="25"/>
        <item x="53"/>
        <item x="88"/>
        <item x="26"/>
        <item x="66"/>
        <item x="65"/>
        <item x="32"/>
        <item x="6"/>
        <item x="89"/>
        <item x="90"/>
        <item x="91"/>
        <item x="33"/>
        <item x="67"/>
        <item x="54"/>
        <item x="40"/>
        <item x="92"/>
        <item x="21"/>
        <item x="93"/>
        <item x="94"/>
        <item x="95"/>
        <item x="41"/>
        <item x="22"/>
        <item x="27"/>
        <item x="68"/>
        <item x="7"/>
        <item x="34"/>
        <item x="35"/>
        <item x="42"/>
        <item x="23"/>
        <item x="69"/>
        <item x="96"/>
        <item x="97"/>
        <item x="11"/>
        <item x="70"/>
        <item x="98"/>
        <item x="71"/>
        <item x="28"/>
        <item x="99"/>
        <item x="100"/>
        <item x="101"/>
        <item x="17"/>
        <item x="72"/>
        <item x="73"/>
        <item x="74"/>
        <item x="102"/>
        <item x="103"/>
        <item x="104"/>
        <item x="75"/>
        <item x="105"/>
        <item x="43"/>
        <item x="106"/>
        <item x="107"/>
        <item x="108"/>
        <item x="44"/>
        <item x="5"/>
        <item x="2"/>
        <item x="13"/>
        <item x="45"/>
        <item x="109"/>
        <item x="55"/>
        <item x="29"/>
        <item x="46"/>
        <item x="76"/>
        <item x="77"/>
        <item x="8"/>
        <item x="47"/>
        <item x="56"/>
        <item x="110"/>
        <item x="78"/>
        <item x="9"/>
        <item x="57"/>
        <item x="111"/>
        <item x="3"/>
        <item x="79"/>
        <item x="112"/>
        <item x="18"/>
        <item x="80"/>
        <item x="81"/>
        <item x="14"/>
        <item x="113"/>
        <item x="48"/>
        <item x="58"/>
        <item x="82"/>
        <item x="59"/>
        <item x="30"/>
        <item x="114"/>
        <item x="49"/>
        <item x="0"/>
        <item x="10"/>
        <item x="60"/>
        <item x="31"/>
        <item x="50"/>
        <item x="61"/>
        <item x="12"/>
        <item x="19"/>
        <item x="51"/>
        <item x="62"/>
        <item x="115"/>
        <item x="36"/>
        <item x="52"/>
        <item x="83"/>
        <item x="37"/>
        <item x="116"/>
        <item x="117"/>
        <item x="118"/>
        <item x="15"/>
        <item x="38"/>
        <item x="119"/>
        <item x="24"/>
        <item x="120"/>
        <item x="63"/>
        <item t="default"/>
      </items>
    </pivotField>
    <pivotField dataField="1" showAll="0"/>
    <pivotField dataField="1" showAll="0"/>
    <pivotField showAll="0"/>
    <pivotField showAll="0"/>
    <pivotField showAll="0"/>
    <pivotField showAll="0"/>
    <pivotField showAll="0"/>
    <pivotField numFmtId="9" showAll="0"/>
    <pivotField numFmtId="9" showAll="0"/>
  </pivotFields>
  <rowFields count="1">
    <field x="0"/>
  </rowFields>
  <rowItems count="1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2">
    <i>
      <x/>
    </i>
    <i i="1">
      <x v="1"/>
    </i>
  </colItems>
  <dataFields count="2">
    <dataField name="Sum of Number Of Occurrences" fld="1" baseField="0" baseItem="0"/>
    <dataField name="Sum of Total Amount Of Winners" fld="2" baseField="0" baseItem="0"/>
  </dataFields>
  <formats count="13">
    <format dxfId="109">
      <pivotArea field="0" type="button" dataOnly="0" labelOnly="1" outline="0" axis="axisRow" fieldPosition="0"/>
    </format>
    <format dxfId="108">
      <pivotArea dataOnly="0" labelOnly="1" outline="0" fieldPosition="0">
        <references count="1">
          <reference field="4294967294" count="2">
            <x v="0"/>
            <x v="1"/>
          </reference>
        </references>
      </pivotArea>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3">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02">
      <pivotArea dataOnly="0" labelOnly="1" fieldPosition="0">
        <references count="1">
          <reference field="0" count="21">
            <x v="100"/>
            <x v="101"/>
            <x v="102"/>
            <x v="103"/>
            <x v="104"/>
            <x v="105"/>
            <x v="106"/>
            <x v="107"/>
            <x v="108"/>
            <x v="109"/>
            <x v="110"/>
            <x v="111"/>
            <x v="112"/>
            <x v="113"/>
            <x v="114"/>
            <x v="115"/>
            <x v="116"/>
            <x v="117"/>
            <x v="118"/>
            <x v="119"/>
            <x v="120"/>
          </reference>
        </references>
      </pivotArea>
    </format>
    <format dxfId="101">
      <pivotArea dataOnly="0" labelOnly="1" grandRow="1" outline="0" fieldPosition="0"/>
    </format>
    <format dxfId="100">
      <pivotArea dataOnly="0" labelOnly="1" outline="0" fieldPosition="0">
        <references count="1">
          <reference field="4294967294" count="2">
            <x v="0"/>
            <x v="1"/>
          </reference>
        </references>
      </pivotArea>
    </format>
    <format dxfId="99">
      <pivotArea collapsedLevelsAreSubtotals="1" fieldPosition="0">
        <references count="2">
          <reference field="4294967294" count="1" selected="0">
            <x v="0"/>
          </reference>
          <reference field="0" count="0"/>
        </references>
      </pivotArea>
    </format>
    <format dxfId="98">
      <pivotArea grandRow="1" outline="0" collapsedLevelsAreSubtotals="1" fieldPosition="0"/>
    </format>
    <format dxfId="9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93044B8-3AAB-423A-AA78-3AB49A6DEBBC}" name="PivotTable1" cacheId="5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 rowHeaderCaption="Male vs. Female Winners">
  <location ref="M283:O406" firstHeaderRow="1" firstDataRow="2" firstDataCol="1"/>
  <pivotFields count="10">
    <pivotField axis="axisRow" compact="0" outline="0" showAll="0" sortType="descending">
      <items count="122">
        <item x="64"/>
        <item x="1"/>
        <item x="84"/>
        <item x="4"/>
        <item x="85"/>
        <item x="39"/>
        <item x="20"/>
        <item x="86"/>
        <item x="87"/>
        <item x="16"/>
        <item x="25"/>
        <item x="53"/>
        <item x="88"/>
        <item x="26"/>
        <item x="66"/>
        <item x="65"/>
        <item x="32"/>
        <item x="6"/>
        <item x="89"/>
        <item x="90"/>
        <item x="91"/>
        <item x="33"/>
        <item x="67"/>
        <item x="54"/>
        <item x="40"/>
        <item x="92"/>
        <item x="21"/>
        <item x="93"/>
        <item x="94"/>
        <item x="95"/>
        <item x="41"/>
        <item x="22"/>
        <item x="27"/>
        <item x="68"/>
        <item x="7"/>
        <item x="34"/>
        <item x="35"/>
        <item x="42"/>
        <item x="23"/>
        <item x="69"/>
        <item x="96"/>
        <item x="97"/>
        <item x="11"/>
        <item x="70"/>
        <item x="98"/>
        <item x="71"/>
        <item x="28"/>
        <item x="99"/>
        <item x="100"/>
        <item x="101"/>
        <item x="17"/>
        <item x="72"/>
        <item x="73"/>
        <item x="74"/>
        <item x="102"/>
        <item x="103"/>
        <item x="104"/>
        <item x="75"/>
        <item x="105"/>
        <item x="43"/>
        <item x="106"/>
        <item x="107"/>
        <item x="108"/>
        <item x="44"/>
        <item x="5"/>
        <item x="2"/>
        <item x="13"/>
        <item x="45"/>
        <item x="109"/>
        <item x="55"/>
        <item x="29"/>
        <item x="46"/>
        <item x="76"/>
        <item x="77"/>
        <item x="8"/>
        <item x="47"/>
        <item x="56"/>
        <item x="110"/>
        <item x="78"/>
        <item x="9"/>
        <item x="57"/>
        <item x="111"/>
        <item x="3"/>
        <item x="79"/>
        <item x="112"/>
        <item x="18"/>
        <item x="80"/>
        <item x="81"/>
        <item x="14"/>
        <item x="113"/>
        <item x="48"/>
        <item x="58"/>
        <item x="82"/>
        <item x="59"/>
        <item x="30"/>
        <item x="114"/>
        <item x="49"/>
        <item x="0"/>
        <item x="10"/>
        <item x="60"/>
        <item x="31"/>
        <item x="50"/>
        <item x="61"/>
        <item x="12"/>
        <item x="19"/>
        <item x="51"/>
        <item x="62"/>
        <item x="115"/>
        <item x="36"/>
        <item x="52"/>
        <item x="83"/>
        <item x="37"/>
        <item x="116"/>
        <item x="117"/>
        <item x="118"/>
        <item x="15"/>
        <item x="38"/>
        <item x="119"/>
        <item x="24"/>
        <item x="120"/>
        <item x="63"/>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9" outline="0" showAll="0"/>
    <pivotField dataField="1" compact="0" numFmtId="9" outline="0" showAll="0"/>
  </pivotFields>
  <rowFields count="1">
    <field x="0"/>
  </rowFields>
  <rowItems count="122">
    <i>
      <x v="77"/>
    </i>
    <i>
      <x v="112"/>
    </i>
    <i>
      <x v="91"/>
    </i>
    <i>
      <x v="8"/>
    </i>
    <i>
      <x v="12"/>
    </i>
    <i>
      <x v="105"/>
    </i>
    <i>
      <x v="30"/>
    </i>
    <i>
      <x v="69"/>
    </i>
    <i>
      <x v="120"/>
    </i>
    <i>
      <x v="115"/>
    </i>
    <i>
      <x v="88"/>
    </i>
    <i>
      <x v="116"/>
    </i>
    <i>
      <x v="92"/>
    </i>
    <i>
      <x v="83"/>
    </i>
    <i>
      <x v="36"/>
    </i>
    <i>
      <x v="47"/>
    </i>
    <i>
      <x v="33"/>
    </i>
    <i>
      <x v="22"/>
    </i>
    <i>
      <x v="98"/>
    </i>
    <i>
      <x v="74"/>
    </i>
    <i>
      <x v="5"/>
    </i>
    <i>
      <x v="117"/>
    </i>
    <i>
      <x v="21"/>
    </i>
    <i>
      <x v="82"/>
    </i>
    <i>
      <x v="109"/>
    </i>
    <i>
      <x v="71"/>
    </i>
    <i>
      <x v="46"/>
    </i>
    <i>
      <x v="42"/>
    </i>
    <i>
      <x v="34"/>
    </i>
    <i>
      <x v="55"/>
    </i>
    <i>
      <x v="2"/>
    </i>
    <i>
      <x v="84"/>
    </i>
    <i>
      <x v="62"/>
    </i>
    <i>
      <x v="81"/>
    </i>
    <i>
      <x v="4"/>
    </i>
    <i>
      <x v="23"/>
    </i>
    <i>
      <x v="106"/>
    </i>
    <i>
      <x v="119"/>
    </i>
    <i>
      <x v="87"/>
    </i>
    <i>
      <x v="38"/>
    </i>
    <i>
      <x v="25"/>
    </i>
    <i>
      <x v="7"/>
    </i>
    <i>
      <x v="54"/>
    </i>
    <i>
      <x v="40"/>
    </i>
    <i>
      <x v="114"/>
    </i>
    <i>
      <x v="26"/>
    </i>
    <i>
      <x v="41"/>
    </i>
    <i>
      <x v="29"/>
    </i>
    <i>
      <x v="56"/>
    </i>
    <i>
      <x v="64"/>
    </i>
    <i>
      <x v="9"/>
    </i>
    <i>
      <x v="35"/>
    </i>
    <i>
      <x v="85"/>
    </i>
    <i>
      <x v="13"/>
    </i>
    <i>
      <x v="100"/>
    </i>
    <i>
      <x v="63"/>
    </i>
    <i>
      <x v="24"/>
    </i>
    <i>
      <x v="101"/>
    </i>
    <i>
      <x v="67"/>
    </i>
    <i>
      <x v="90"/>
    </i>
    <i>
      <x v="118"/>
    </i>
    <i>
      <x v="75"/>
    </i>
    <i>
      <x v="65"/>
    </i>
    <i>
      <x v="31"/>
    </i>
    <i>
      <x v="61"/>
    </i>
    <i>
      <x v="39"/>
    </i>
    <i>
      <x v="43"/>
    </i>
    <i>
      <x v="15"/>
    </i>
    <i>
      <x v="111"/>
    </i>
    <i>
      <x v="104"/>
    </i>
    <i>
      <x v="16"/>
    </i>
    <i>
      <x v="53"/>
    </i>
    <i>
      <x v="70"/>
    </i>
    <i>
      <x v="108"/>
    </i>
    <i>
      <x v="94"/>
    </i>
    <i>
      <x v="32"/>
    </i>
    <i>
      <x v="10"/>
    </i>
    <i>
      <x v="103"/>
    </i>
    <i>
      <x v="102"/>
    </i>
    <i>
      <x v="6"/>
    </i>
    <i>
      <x v="72"/>
    </i>
    <i>
      <x v="79"/>
    </i>
    <i>
      <x v="11"/>
    </i>
    <i>
      <x v="17"/>
    </i>
    <i>
      <x v="99"/>
    </i>
    <i>
      <x v="76"/>
    </i>
    <i>
      <x v="3"/>
    </i>
    <i>
      <x v="37"/>
    </i>
    <i>
      <x v="1"/>
    </i>
    <i>
      <x v="96"/>
    </i>
    <i>
      <x v="50"/>
    </i>
    <i>
      <x v="59"/>
    </i>
    <i>
      <x v="97"/>
    </i>
    <i>
      <x v="66"/>
    </i>
    <i>
      <x v="49"/>
    </i>
    <i>
      <x v="107"/>
    </i>
    <i>
      <x v="93"/>
    </i>
    <i>
      <x v="95"/>
    </i>
    <i>
      <x v="48"/>
    </i>
    <i>
      <x v="14"/>
    </i>
    <i>
      <x v="20"/>
    </i>
    <i>
      <x v="113"/>
    </i>
    <i>
      <x v="89"/>
    </i>
    <i>
      <x v="52"/>
    </i>
    <i>
      <x v="18"/>
    </i>
    <i>
      <x v="73"/>
    </i>
    <i>
      <x v="27"/>
    </i>
    <i>
      <x v="44"/>
    </i>
    <i>
      <x v="110"/>
    </i>
    <i>
      <x v="57"/>
    </i>
    <i>
      <x v="28"/>
    </i>
    <i>
      <x v="58"/>
    </i>
    <i>
      <x v="86"/>
    </i>
    <i>
      <x v="45"/>
    </i>
    <i>
      <x v="51"/>
    </i>
    <i>
      <x v="78"/>
    </i>
    <i>
      <x v="68"/>
    </i>
    <i>
      <x/>
    </i>
    <i>
      <x v="19"/>
    </i>
    <i>
      <x v="80"/>
    </i>
    <i>
      <x v="60"/>
    </i>
    <i t="grand">
      <x/>
    </i>
  </rowItems>
  <colFields count="1">
    <field x="-2"/>
  </colFields>
  <colItems count="2">
    <i>
      <x/>
    </i>
    <i i="1">
      <x v="1"/>
    </i>
  </colItems>
  <dataFields count="2">
    <dataField name="Sum of % Male Winners" fld="8" baseField="0" baseItem="0"/>
    <dataField name="Sum of % Female Winners" fld="9" baseField="0" baseItem="0"/>
  </dataFields>
  <formats count="15">
    <format dxfId="124">
      <pivotArea collapsedLevelsAreSubtotals="1" fieldPosition="0">
        <references count="1">
          <reference field="0" count="0"/>
        </references>
      </pivotArea>
    </format>
    <format dxfId="123">
      <pivotArea type="all" dataOnly="0" outline="0" fieldPosition="0"/>
    </format>
    <format dxfId="122">
      <pivotArea outline="0" collapsedLevelsAreSubtotals="1" fieldPosition="0"/>
    </format>
    <format dxfId="121">
      <pivotArea field="0" type="button" dataOnly="0" labelOnly="1" outline="0" axis="axisRow" fieldPosition="0"/>
    </format>
    <format dxfId="120">
      <pivotArea dataOnly="0" labelOnly="1" fieldPosition="0">
        <references count="1">
          <reference field="0" count="50">
            <x v="2"/>
            <x v="4"/>
            <x v="5"/>
            <x v="7"/>
            <x v="8"/>
            <x v="12"/>
            <x v="21"/>
            <x v="22"/>
            <x v="23"/>
            <x v="25"/>
            <x v="26"/>
            <x v="29"/>
            <x v="30"/>
            <x v="33"/>
            <x v="34"/>
            <x v="36"/>
            <x v="38"/>
            <x v="40"/>
            <x v="41"/>
            <x v="42"/>
            <x v="46"/>
            <x v="47"/>
            <x v="54"/>
            <x v="55"/>
            <x v="56"/>
            <x v="62"/>
            <x v="64"/>
            <x v="69"/>
            <x v="71"/>
            <x v="74"/>
            <x v="77"/>
            <x v="81"/>
            <x v="82"/>
            <x v="83"/>
            <x v="84"/>
            <x v="87"/>
            <x v="88"/>
            <x v="91"/>
            <x v="92"/>
            <x v="98"/>
            <x v="105"/>
            <x v="106"/>
            <x v="109"/>
            <x v="112"/>
            <x v="114"/>
            <x v="115"/>
            <x v="116"/>
            <x v="117"/>
            <x v="119"/>
            <x v="120"/>
          </reference>
        </references>
      </pivotArea>
    </format>
    <format dxfId="119">
      <pivotArea dataOnly="0" labelOnly="1" fieldPosition="0">
        <references count="1">
          <reference field="0" count="50">
            <x v="1"/>
            <x v="3"/>
            <x v="6"/>
            <x v="9"/>
            <x v="10"/>
            <x v="11"/>
            <x v="13"/>
            <x v="14"/>
            <x v="15"/>
            <x v="16"/>
            <x v="17"/>
            <x v="24"/>
            <x v="31"/>
            <x v="32"/>
            <x v="35"/>
            <x v="37"/>
            <x v="39"/>
            <x v="43"/>
            <x v="48"/>
            <x v="49"/>
            <x v="50"/>
            <x v="53"/>
            <x v="59"/>
            <x v="61"/>
            <x v="63"/>
            <x v="65"/>
            <x v="66"/>
            <x v="67"/>
            <x v="70"/>
            <x v="72"/>
            <x v="75"/>
            <x v="76"/>
            <x v="79"/>
            <x v="85"/>
            <x v="90"/>
            <x v="93"/>
            <x v="94"/>
            <x v="95"/>
            <x v="96"/>
            <x v="97"/>
            <x v="99"/>
            <x v="100"/>
            <x v="101"/>
            <x v="102"/>
            <x v="103"/>
            <x v="104"/>
            <x v="107"/>
            <x v="108"/>
            <x v="111"/>
            <x v="118"/>
          </reference>
        </references>
      </pivotArea>
    </format>
    <format dxfId="118">
      <pivotArea dataOnly="0" labelOnly="1" fieldPosition="0">
        <references count="1">
          <reference field="0" count="21">
            <x v="0"/>
            <x v="18"/>
            <x v="19"/>
            <x v="20"/>
            <x v="27"/>
            <x v="28"/>
            <x v="44"/>
            <x v="45"/>
            <x v="51"/>
            <x v="52"/>
            <x v="57"/>
            <x v="58"/>
            <x v="60"/>
            <x v="68"/>
            <x v="73"/>
            <x v="78"/>
            <x v="80"/>
            <x v="86"/>
            <x v="89"/>
            <x v="110"/>
            <x v="113"/>
          </reference>
        </references>
      </pivotArea>
    </format>
    <format dxfId="117">
      <pivotArea dataOnly="0" labelOnly="1" grandRow="1" outline="0" fieldPosition="0"/>
    </format>
    <format dxfId="116">
      <pivotArea dataOnly="0" labelOnly="1" outline="0" fieldPosition="0">
        <references count="1">
          <reference field="4294967294" count="2">
            <x v="0"/>
            <x v="1"/>
          </reference>
        </references>
      </pivotArea>
    </format>
    <format dxfId="115">
      <pivotArea field="0" type="button" dataOnly="0" labelOnly="1" outline="0" axis="axisRow" fieldPosition="0"/>
    </format>
    <format dxfId="114">
      <pivotArea dataOnly="0" labelOnly="1" outline="0" fieldPosition="0">
        <references count="1">
          <reference field="4294967294" count="2">
            <x v="0"/>
            <x v="1"/>
          </reference>
        </references>
      </pivotArea>
    </format>
    <format dxfId="113">
      <pivotArea collapsedLevelsAreSubtotals="1" fieldPosition="0">
        <references count="2">
          <reference field="4294967294" count="1" selected="0">
            <x v="0"/>
          </reference>
          <reference field="0" count="0"/>
        </references>
      </pivotArea>
    </format>
    <format dxfId="112">
      <pivotArea grandRow="1" outline="0" collapsedLevelsAreSubtotals="1" fieldPosition="0"/>
    </format>
    <format dxfId="111">
      <pivotArea dataOnly="0" labelOnly="1" grandRow="1" outline="0" fieldPosition="0"/>
    </format>
    <format dxfId="110">
      <pivotArea field="-2" type="button" dataOnly="0" labelOnly="1" outline="0" axis="axisCol"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C28FE9D7-6643-4CCD-9B2E-2EAB18A0EA84}" sourceName="Name">
  <pivotTables>
    <pivotTable tabId="2" name="PivotTable3"/>
  </pivotTables>
  <data>
    <tabular pivotCacheId="635096481">
      <items count="46">
        <i x="22" s="1"/>
        <i x="35" s="1"/>
        <i x="10" s="1"/>
        <i x="12" s="1"/>
        <i x="0" s="1"/>
        <i x="41" s="1"/>
        <i x="23" s="1"/>
        <i x="15" s="1"/>
        <i x="20" s="1"/>
        <i x="14" s="1"/>
        <i x="27" s="1"/>
        <i x="34" s="1"/>
        <i x="39" s="1"/>
        <i x="17" s="1"/>
        <i x="16" s="1"/>
        <i x="6" s="1"/>
        <i x="5" s="1"/>
        <i x="1" s="1"/>
        <i x="30" s="1"/>
        <i x="26" s="1"/>
        <i x="3" s="1"/>
        <i x="28" s="1"/>
        <i x="18" s="1"/>
        <i x="11" s="1"/>
        <i x="40" s="1"/>
        <i x="8" s="1"/>
        <i x="36" s="1"/>
        <i x="31" s="1"/>
        <i x="33" s="1"/>
        <i x="7" s="1"/>
        <i x="19" s="1"/>
        <i x="21" s="1"/>
        <i x="24" s="1"/>
        <i x="38" s="1"/>
        <i x="42" s="1"/>
        <i x="25" s="1"/>
        <i x="29" s="1"/>
        <i x="9" s="1"/>
        <i x="37" s="1"/>
        <i x="32" s="1"/>
        <i x="2" s="1"/>
        <i x="13" s="1"/>
        <i x="4" s="1"/>
        <i x="43" s="1"/>
        <i x="44" s="1" nd="1"/>
        <i x="4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59C36C3-3697-4B68-B495-9BB5BCE13219}" sourceName="Name">
  <pivotTables>
    <pivotTable tabId="2" name="PivotTable6"/>
  </pivotTables>
  <data>
    <tabular pivotCacheId="635096481">
      <items count="46">
        <i x="22" s="1"/>
        <i x="35" s="1"/>
        <i x="10" s="1"/>
        <i x="12" s="1"/>
        <i x="0" s="1"/>
        <i x="41" s="1"/>
        <i x="23" s="1"/>
        <i x="15" s="1"/>
        <i x="20" s="1"/>
        <i x="14" s="1"/>
        <i x="27" s="1"/>
        <i x="34" s="1"/>
        <i x="39" s="1"/>
        <i x="17" s="1"/>
        <i x="16" s="1"/>
        <i x="6" s="1"/>
        <i x="5" s="1"/>
        <i x="1" s="1"/>
        <i x="30" s="1"/>
        <i x="26" s="1"/>
        <i x="3" s="1"/>
        <i x="28" s="1"/>
        <i x="18" s="1"/>
        <i x="11" s="1"/>
        <i x="40" s="1"/>
        <i x="8" s="1"/>
        <i x="36" s="1"/>
        <i x="31" s="1"/>
        <i x="33" s="1"/>
        <i x="7" s="1"/>
        <i x="19" s="1"/>
        <i x="21" s="1"/>
        <i x="24" s="1"/>
        <i x="38" s="1"/>
        <i x="42" s="1"/>
        <i x="25" s="1"/>
        <i x="29" s="1"/>
        <i x="9" s="1"/>
        <i x="37" s="1"/>
        <i x="32" s="1"/>
        <i x="2" s="1"/>
        <i x="13" s="1"/>
        <i x="4" s="1"/>
        <i x="43" s="1"/>
        <i x="44" s="1" nd="1"/>
        <i x="4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2" xr10:uid="{BFAD0CAC-A6FB-4B44-B1AA-6E9842704729}" sourceName="Name">
  <pivotTables>
    <pivotTable tabId="2" name="PivotTable7"/>
  </pivotTables>
  <data>
    <tabular pivotCacheId="635096481">
      <items count="46">
        <i x="22" s="1"/>
        <i x="35" s="1"/>
        <i x="10" s="1"/>
        <i x="12" s="1"/>
        <i x="0" s="1"/>
        <i x="41" s="1"/>
        <i x="23" s="1"/>
        <i x="15" s="1"/>
        <i x="20" s="1"/>
        <i x="14" s="1"/>
        <i x="27" s="1"/>
        <i x="34" s="1"/>
        <i x="39" s="1"/>
        <i x="17" s="1"/>
        <i x="16" s="1"/>
        <i x="6" s="1"/>
        <i x="5" s="1"/>
        <i x="1" s="1"/>
        <i x="30" s="1"/>
        <i x="26" s="1"/>
        <i x="3" s="1"/>
        <i x="28" s="1"/>
        <i x="18" s="1"/>
        <i x="11" s="1"/>
        <i x="40" s="1"/>
        <i x="8" s="1"/>
        <i x="36" s="1"/>
        <i x="31" s="1"/>
        <i x="33" s="1"/>
        <i x="7" s="1"/>
        <i x="19" s="1"/>
        <i x="21" s="1"/>
        <i x="24" s="1"/>
        <i x="38" s="1"/>
        <i x="42" s="1"/>
        <i x="25" s="1"/>
        <i x="29" s="1"/>
        <i x="9" s="1"/>
        <i x="37" s="1"/>
        <i x="32" s="1"/>
        <i x="2" s="1"/>
        <i x="13" s="1"/>
        <i x="4" s="1"/>
        <i x="43" s="1"/>
        <i x="44" s="1" nd="1"/>
        <i x="4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42E88E2B-4D3F-47C7-93FC-B222FA7252B7}" cache="Slicer_Name" caption="Name" rowHeight="234950"/>
  <slicer name="Name 1" xr10:uid="{44EF15E7-B2CF-40DF-A9D7-993B349F49CB}" cache="Slicer_Name1" caption="Name" rowHeight="234950"/>
  <slicer name="Name 2" xr10:uid="{E14BC7CC-25C9-412D-B430-5CA9929C287A}" cache="Slicer_Name2" caption="Na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A7EBB-9D17-4A71-BBFE-698BFD237D9B}" name="Table3" displayName="Table3" ref="B123:K167" totalsRowShown="0" headerRowDxfId="186" dataDxfId="184" headerRowBorderDxfId="185" tableBorderDxfId="183">
  <autoFilter ref="B123:K167" xr:uid="{53CA7EBB-9D17-4A71-BBFE-698BFD237D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124:K167">
    <sortCondition ref="I123:I167"/>
  </sortState>
  <tableColumns count="10">
    <tableColumn id="1" xr3:uid="{DC844F29-8775-4AFA-BAD5-38CF93835537}" name="Name" dataDxfId="182"/>
    <tableColumn id="2" xr3:uid="{AA7F2E2E-7C0C-4D69-B49B-C13D569C4D61}" name="Tribals Attended" dataDxfId="181"/>
    <tableColumn id="3" xr3:uid="{2E20EDBF-D88B-46D2-A73D-B970C86D9046}" name="Total Tribals in Season" dataDxfId="180"/>
    <tableColumn id="4" xr3:uid="{023AA326-D59D-4B59-AC74-4FF5953EF4BB}" name="Votes In Minority at Tribal" dataDxfId="179"/>
    <tableColumn id="5" xr3:uid="{4B0529EB-804D-4AE5-9BA7-E15660934782}" name="Votes in Majority at Tribal" dataDxfId="178"/>
    <tableColumn id="6" xr3:uid="{6963E786-C412-4095-BAE2-67343C0AE625}" name="Tribals Attended That Winner Could Not Vote" dataDxfId="177">
      <calculatedColumnFormula>$C124-($E124+$F124)</calculatedColumnFormula>
    </tableColumn>
    <tableColumn id="7" xr3:uid="{873976EE-84A7-47C5-8E60-6B6E139E3A2D}" name="Correct Votes at Tribal" dataDxfId="176"/>
    <tableColumn id="8" xr3:uid="{7D18B3EC-3F2D-432C-8FBE-99A352926AE8}" name="VAR - Voting Accuracy Record - Correct Votes/Tribals Attended" dataDxfId="175" dataCellStyle="Percent">
      <calculatedColumnFormula>($H124+$G124)/$C124</calculatedColumnFormula>
    </tableColumn>
    <tableColumn id="9" xr3:uid="{BD435890-9349-4A59-9147-0A527E6FFEB1}" name="Comparative Ranking To Other Winners" dataDxfId="174">
      <calculatedColumnFormula>_xlfn.RANK.EQ($I124,$I$124:$I$167,0)</calculatedColumnFormula>
    </tableColumn>
    <tableColumn id="11" xr3:uid="{F921E9FE-317B-4BB3-A0F0-878C2AB50796}" name="Gender" dataDxfId="173"/>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77BC4F-370A-4A89-A920-5F9C1E5D3B91}" name="Table1" displayName="Table1" ref="B140:H244" totalsRowShown="0" headerRowDxfId="145" dataDxfId="143" headerRowBorderDxfId="144" tableBorderDxfId="142">
  <autoFilter ref="B140:H244" xr:uid="{2E77BC4F-370A-4A89-A920-5F9C1E5D3B91}">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141:H244">
    <sortCondition ref="D140:D244"/>
  </sortState>
  <tableColumns count="7">
    <tableColumn id="1" xr3:uid="{72C1FFE1-B39D-4C24-BA72-568BFA8B62E6}" name="Alliance Name" dataDxfId="141"/>
    <tableColumn id="2" xr3:uid="{BEABF7C8-367E-4B73-8A69-307CD5A7C6FC}" name="Season In" dataDxfId="140"/>
    <tableColumn id="3" xr3:uid="{7F07E07D-25EB-4A35-813A-9F96FF16FC13}" name="Alliance Size" dataDxfId="139"/>
    <tableColumn id="4" xr3:uid="{D42FD012-4B31-4526-AD33-E3715972C8B3}" name="Highest Placement In Alliance" dataDxfId="138"/>
    <tableColumn id="5" xr3:uid="{5688E00C-788A-4C17-8A58-ABF4D01D61C9}" name="Lowest Placement In Alliance" dataDxfId="137"/>
    <tableColumn id="6" xr3:uid="{B0547D09-B112-4950-A64B-59CDC51E67F8}" name="Average Placement of Alliance" dataDxfId="136"/>
    <tableColumn id="7" xr3:uid="{71C780BE-E58C-42E7-AF71-1CD476DC50E9}" name="Comparative Ranking To Other Alliances" dataDxfId="135">
      <calculatedColumnFormula>_xlfn.RANK.EQ($G141,$G$141:$G$244,1)</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0280FF-F03D-48C5-8073-44D4A14B37D6}" name="Table2" displayName="Table2" ref="L140:Q146" totalsRowShown="0" headerRowDxfId="134" dataDxfId="132" headerRowBorderDxfId="133" tableBorderDxfId="131">
  <autoFilter ref="L140:Q146" xr:uid="{4E0280FF-F03D-48C5-8073-44D4A14B37D6}">
    <filterColumn colId="0" hiddenButton="1"/>
    <filterColumn colId="1" hiddenButton="1"/>
    <filterColumn colId="2" hiddenButton="1"/>
    <filterColumn colId="3" hiddenButton="1"/>
    <filterColumn colId="4" hiddenButton="1"/>
    <filterColumn colId="5" hiddenButton="1"/>
  </autoFilter>
  <tableColumns count="6">
    <tableColumn id="1" xr3:uid="{E37F5333-AC82-4AD1-B692-8B7CFC231ACA}" name="Alliance Size" dataDxfId="130"/>
    <tableColumn id="2" xr3:uid="{D69D246B-588F-4CF8-ADDE-A31D94A3DC9C}" name="Count of Alliances" dataDxfId="129"/>
    <tableColumn id="3" xr3:uid="{F39086CF-1F43-4709-9C75-36DC0ACC0920}" name="Highest Average Alliance Per Size" dataDxfId="128"/>
    <tableColumn id="4" xr3:uid="{237AA38F-8BFA-4223-99FD-0B96D6BDE17F}" name="Lowest Average Alliance Per Size" dataDxfId="127"/>
    <tableColumn id="5" xr3:uid="{231FA5AB-E25D-4010-8AA7-18B0530536E4}" name="Average Alliance Size Placement" dataDxfId="126"/>
    <tableColumn id="6" xr3:uid="{F35578D1-818C-46EC-BB38-FFEDEB3A3E3E}" name="Comparative Ranking To Other Sizes" dataDxfId="125">
      <calculatedColumnFormula>_xlfn.RANK.EQ($P141,$P$141:$P$146,1)</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19B265-F050-4A2A-BF4B-96A5CA3D5C90}" name="Table4" displayName="Table4" ref="B282:K403" totalsRowShown="0" headerRowDxfId="75" dataDxfId="73" headerRowBorderDxfId="74" tableBorderDxfId="72">
  <autoFilter ref="B282:K403" xr:uid="{6F19B265-F050-4A2A-BF4B-96A5CA3D5C90}"/>
  <sortState xmlns:xlrd2="http://schemas.microsoft.com/office/spreadsheetml/2017/richdata2" ref="B283:K403">
    <sortCondition descending="1" ref="J282:J403"/>
  </sortState>
  <tableColumns count="10">
    <tableColumn id="1" xr3:uid="{D4542C1B-1883-4AA7-9936-7A8A3B3388A7}" name="Challenge Name" dataDxfId="71"/>
    <tableColumn id="2" xr3:uid="{8FCAC822-ED19-4BBC-B252-3FFB7449E2A9}" name="Number Of Occurrences" dataDxfId="70"/>
    <tableColumn id="3" xr3:uid="{987BC640-558D-4384-8785-C1FEEFE7B354}" name="Total Amount Of Winners" dataDxfId="69"/>
    <tableColumn id="4" xr3:uid="{55622CB0-54B8-471C-856D-B3A6777388B8}" name="Number Of Reward Iterations" dataDxfId="68"/>
    <tableColumn id="5" xr3:uid="{11B05B31-E91A-423C-AF05-D48EFFA0F56F}" name="Number Of Immunity Iterations" dataDxfId="67"/>
    <tableColumn id="6" xr3:uid="{96D3B20F-5BAA-420D-A966-3451A74A4D35}" name="Number Of Immunity and Reward Iterations" dataDxfId="66">
      <calculatedColumnFormula>$C283-($E283+$F283)</calculatedColumnFormula>
    </tableColumn>
    <tableColumn id="7" xr3:uid="{2E52815E-590B-426E-885D-AB46F21241C6}" name="Number Of Male Winners" dataDxfId="65"/>
    <tableColumn id="8" xr3:uid="{3D987730-ED4D-4981-9733-2B1D538BBE0E}" name="Number Of Female Winners" dataDxfId="64">
      <calculatedColumnFormula>$D283-$H283</calculatedColumnFormula>
    </tableColumn>
    <tableColumn id="9" xr3:uid="{4AE67334-7F8A-434B-86D9-602A5A26DD66}" name="% Male Winners" dataDxfId="63" dataCellStyle="Percent">
      <calculatedColumnFormula>$H283/$D283</calculatedColumnFormula>
    </tableColumn>
    <tableColumn id="10" xr3:uid="{6866A284-8A98-4E5B-AEDB-047DD342211D}" name="% Female Winners" dataDxfId="62" dataCellStyle="Percent">
      <calculatedColumnFormula>$I283/$D283</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4A7C52-89CE-405F-8B30-01D6725294A3}" name="Table6" displayName="Table6" ref="O32:R153" totalsRowShown="0" headerRowDxfId="61" headerRowBorderDxfId="60" tableBorderDxfId="59" totalsRowBorderDxfId="58">
  <autoFilter ref="O32:R153" xr:uid="{154A7C52-89CE-405F-8B30-01D6725294A3}"/>
  <tableColumns count="4">
    <tableColumn id="1" xr3:uid="{5A1688C2-F391-4836-A37E-DD07C36BF9AE}" name="Challenge Name" dataDxfId="57"/>
    <tableColumn id="2" xr3:uid="{63E40253-CEDE-48BB-9522-903DF95402C1}" name="Type Of Challenge (Endurance, Memory, Quiz, Race, Rounds)" dataDxfId="56"/>
    <tableColumn id="3" xr3:uid="{4DF05C88-D790-4D82-9CDD-36B7366A0A84}" name="% Male Winners" dataDxfId="55" dataCellStyle="Percent">
      <calculatedColumnFormula>$H283/$D283</calculatedColumnFormula>
    </tableColumn>
    <tableColumn id="4" xr3:uid="{A03A0BFD-4070-4F01-A7CE-230517D99E2C}" name="% Female Winners" dataDxfId="54" dataCellStyle="Percent">
      <calculatedColumnFormula>$I283/$D283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ivotTable" Target="../pivotTables/pivotTable9.xml"/><Relationship Id="rId7" Type="http://schemas.openxmlformats.org/officeDocument/2006/relationships/drawing" Target="../drawings/drawing4.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rinterSettings" Target="../printerSettings/printerSettings1.bin"/><Relationship Id="rId5" Type="http://schemas.openxmlformats.org/officeDocument/2006/relationships/pivotTable" Target="../pivotTables/pivotTable11.xml"/><Relationship Id="rId4" Type="http://schemas.openxmlformats.org/officeDocument/2006/relationships/pivotTable" Target="../pivotTables/pivotTable10.xml"/><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513A6-B014-417A-802B-0A5F04B7667B}">
  <sheetPr codeName="Sheet1"/>
  <dimension ref="A1:Z57"/>
  <sheetViews>
    <sheetView zoomScale="85" zoomScaleNormal="85" workbookViewId="0">
      <selection activeCell="W10" sqref="W10"/>
    </sheetView>
  </sheetViews>
  <sheetFormatPr defaultColWidth="0" defaultRowHeight="14.4" zeroHeight="1" x14ac:dyDescent="0.3"/>
  <cols>
    <col min="1" max="26" width="8.88671875" style="1" customWidth="1"/>
    <col min="27" max="16384" width="8.88671875" style="1" hidden="1"/>
  </cols>
  <sheetData>
    <row r="1" spans="1:26" s="2" customFormat="1" x14ac:dyDescent="0.3">
      <c r="A1" s="3"/>
      <c r="B1" s="4"/>
      <c r="C1" s="4"/>
      <c r="D1" s="4"/>
      <c r="E1" s="4"/>
      <c r="F1" s="4"/>
      <c r="G1" s="4"/>
      <c r="H1" s="4"/>
      <c r="I1" s="4"/>
      <c r="J1" s="4"/>
      <c r="K1" s="4"/>
      <c r="L1" s="4"/>
      <c r="M1" s="4"/>
      <c r="N1" s="4"/>
      <c r="O1" s="4"/>
      <c r="P1" s="4"/>
      <c r="Q1" s="4"/>
      <c r="R1" s="4"/>
      <c r="S1" s="4"/>
      <c r="T1" s="4"/>
      <c r="U1" s="4"/>
      <c r="V1" s="4"/>
      <c r="W1" s="4"/>
      <c r="X1" s="4"/>
      <c r="Y1" s="4"/>
      <c r="Z1" s="5"/>
    </row>
    <row r="2" spans="1:26" customFormat="1" x14ac:dyDescent="0.3">
      <c r="A2" s="6"/>
      <c r="B2" s="9"/>
      <c r="C2" s="10"/>
      <c r="D2" s="10"/>
      <c r="E2" s="10"/>
      <c r="F2" s="10"/>
      <c r="G2" s="10"/>
      <c r="H2" s="10"/>
      <c r="I2" s="10"/>
      <c r="J2" s="10"/>
      <c r="K2" s="10"/>
      <c r="L2" s="10"/>
      <c r="M2" s="10"/>
      <c r="N2" s="10"/>
      <c r="O2" s="10"/>
      <c r="P2" s="10"/>
      <c r="Q2" s="10"/>
      <c r="R2" s="10"/>
      <c r="S2" s="10"/>
      <c r="T2" s="10"/>
      <c r="U2" s="10"/>
      <c r="V2" s="10"/>
      <c r="W2" s="10"/>
      <c r="X2" s="10"/>
      <c r="Y2" s="11"/>
      <c r="Z2" s="7"/>
    </row>
    <row r="3" spans="1:26" customFormat="1" ht="14.4" customHeight="1" x14ac:dyDescent="0.3">
      <c r="A3" s="6"/>
      <c r="B3" s="12"/>
      <c r="C3" s="165" t="s">
        <v>0</v>
      </c>
      <c r="D3" s="166"/>
      <c r="E3" s="166"/>
      <c r="F3" s="166"/>
      <c r="G3" s="167"/>
      <c r="H3" s="13"/>
      <c r="I3" s="13"/>
      <c r="J3" s="14"/>
      <c r="K3" s="14"/>
      <c r="L3" s="14"/>
      <c r="M3" s="14"/>
      <c r="N3" s="14"/>
      <c r="O3" s="14"/>
      <c r="P3" s="14"/>
      <c r="Q3" s="14"/>
      <c r="R3" s="14"/>
      <c r="S3" s="14"/>
      <c r="T3" s="14"/>
      <c r="U3" s="14"/>
      <c r="V3" s="14"/>
      <c r="W3" s="14"/>
      <c r="X3" s="14"/>
      <c r="Y3" s="15"/>
      <c r="Z3" s="7"/>
    </row>
    <row r="4" spans="1:26" customFormat="1" ht="14.4" customHeight="1" x14ac:dyDescent="0.3">
      <c r="A4" s="6"/>
      <c r="B4" s="12"/>
      <c r="C4" s="168"/>
      <c r="D4" s="169"/>
      <c r="E4" s="169"/>
      <c r="F4" s="169"/>
      <c r="G4" s="170"/>
      <c r="H4" s="13"/>
      <c r="I4" s="13"/>
      <c r="J4" s="14"/>
      <c r="K4" s="14"/>
      <c r="L4" s="14"/>
      <c r="M4" s="14"/>
      <c r="N4" s="14"/>
      <c r="O4" s="14"/>
      <c r="P4" s="14"/>
      <c r="Q4" s="14"/>
      <c r="R4" s="14"/>
      <c r="S4" s="14"/>
      <c r="T4" s="14"/>
      <c r="U4" s="14"/>
      <c r="V4" s="14"/>
      <c r="W4" s="14"/>
      <c r="X4" s="14"/>
      <c r="Y4" s="15"/>
      <c r="Z4" s="7"/>
    </row>
    <row r="5" spans="1:26" customFormat="1" x14ac:dyDescent="0.3">
      <c r="A5" s="6"/>
      <c r="B5" s="16"/>
      <c r="C5" s="17"/>
      <c r="D5" s="17"/>
      <c r="E5" s="17"/>
      <c r="F5" s="17"/>
      <c r="G5" s="17"/>
      <c r="H5" s="17"/>
      <c r="I5" s="17"/>
      <c r="J5" s="17"/>
      <c r="K5" s="17"/>
      <c r="L5" s="17"/>
      <c r="M5" s="17"/>
      <c r="N5" s="17"/>
      <c r="O5" s="17"/>
      <c r="P5" s="17"/>
      <c r="Q5" s="17"/>
      <c r="R5" s="17"/>
      <c r="S5" s="17"/>
      <c r="T5" s="17"/>
      <c r="U5" s="17"/>
      <c r="V5" s="17"/>
      <c r="W5" s="17"/>
      <c r="X5" s="17"/>
      <c r="Y5" s="18"/>
      <c r="Z5" s="7"/>
    </row>
    <row r="6" spans="1:26" s="2" customFormat="1" x14ac:dyDescent="0.3">
      <c r="A6" s="6"/>
      <c r="B6" s="8"/>
      <c r="C6" s="8"/>
      <c r="D6" s="8"/>
      <c r="E6" s="8"/>
      <c r="F6" s="8"/>
      <c r="G6" s="8"/>
      <c r="H6" s="8"/>
      <c r="I6" s="8"/>
      <c r="J6" s="8"/>
      <c r="K6" s="8"/>
      <c r="L6" s="8"/>
      <c r="M6" s="8"/>
      <c r="N6" s="8"/>
      <c r="O6" s="8"/>
      <c r="P6" s="8"/>
      <c r="Q6" s="8"/>
      <c r="R6" s="8"/>
      <c r="S6" s="8"/>
      <c r="T6" s="8"/>
      <c r="U6" s="8"/>
      <c r="V6" s="8"/>
      <c r="W6" s="8"/>
      <c r="X6" s="8"/>
      <c r="Y6" s="8"/>
      <c r="Z6" s="7"/>
    </row>
    <row r="7" spans="1:26" x14ac:dyDescent="0.3">
      <c r="A7" s="2"/>
      <c r="B7" s="19"/>
      <c r="C7" s="20"/>
      <c r="D7" s="20"/>
      <c r="E7" s="20"/>
      <c r="F7" s="20"/>
      <c r="G7" s="20"/>
      <c r="H7" s="20"/>
      <c r="I7" s="20"/>
      <c r="J7" s="20"/>
      <c r="K7" s="20"/>
      <c r="L7" s="20"/>
      <c r="M7" s="20"/>
      <c r="N7" s="20"/>
      <c r="O7" s="20"/>
      <c r="P7" s="20"/>
      <c r="Q7" s="20"/>
      <c r="R7" s="20"/>
      <c r="S7" s="20"/>
      <c r="T7" s="20"/>
      <c r="U7" s="20"/>
      <c r="V7" s="20"/>
      <c r="W7" s="20"/>
      <c r="X7" s="20"/>
      <c r="Y7" s="21"/>
      <c r="Z7" s="2"/>
    </row>
    <row r="8" spans="1:26" x14ac:dyDescent="0.3">
      <c r="A8" s="2"/>
      <c r="B8" s="22"/>
      <c r="Y8" s="23"/>
      <c r="Z8" s="2"/>
    </row>
    <row r="9" spans="1:26" x14ac:dyDescent="0.3">
      <c r="A9" s="2"/>
      <c r="B9" s="22"/>
      <c r="Y9" s="23"/>
      <c r="Z9" s="2"/>
    </row>
    <row r="10" spans="1:26" x14ac:dyDescent="0.3">
      <c r="A10" s="2"/>
      <c r="B10" s="22"/>
      <c r="Y10" s="23"/>
      <c r="Z10" s="2"/>
    </row>
    <row r="11" spans="1:26" x14ac:dyDescent="0.3">
      <c r="A11" s="2"/>
      <c r="B11" s="22"/>
      <c r="D11"/>
      <c r="Y11" s="23"/>
      <c r="Z11" s="2"/>
    </row>
    <row r="12" spans="1:26" x14ac:dyDescent="0.3">
      <c r="A12" s="2"/>
      <c r="B12" s="22"/>
      <c r="Y12" s="23"/>
      <c r="Z12" s="2"/>
    </row>
    <row r="13" spans="1:26" x14ac:dyDescent="0.3">
      <c r="A13" s="2"/>
      <c r="B13" s="22"/>
      <c r="Y13" s="23"/>
      <c r="Z13" s="2"/>
    </row>
    <row r="14" spans="1:26" x14ac:dyDescent="0.3">
      <c r="A14" s="2"/>
      <c r="B14" s="22"/>
      <c r="Y14" s="23"/>
      <c r="Z14" s="2"/>
    </row>
    <row r="15" spans="1:26" x14ac:dyDescent="0.3">
      <c r="A15" s="2"/>
      <c r="B15" s="22"/>
      <c r="Y15" s="23"/>
      <c r="Z15" s="2"/>
    </row>
    <row r="16" spans="1:26" x14ac:dyDescent="0.3">
      <c r="A16" s="2"/>
      <c r="B16" s="22"/>
      <c r="Y16" s="23"/>
      <c r="Z16" s="2"/>
    </row>
    <row r="17" spans="1:26" x14ac:dyDescent="0.3">
      <c r="A17" s="2"/>
      <c r="B17" s="22"/>
      <c r="Y17" s="23"/>
      <c r="Z17" s="2"/>
    </row>
    <row r="18" spans="1:26" x14ac:dyDescent="0.3">
      <c r="A18" s="2"/>
      <c r="B18" s="22"/>
      <c r="Y18" s="23"/>
      <c r="Z18" s="2"/>
    </row>
    <row r="19" spans="1:26" x14ac:dyDescent="0.3">
      <c r="A19" s="2"/>
      <c r="B19" s="22"/>
      <c r="Y19" s="23"/>
      <c r="Z19" s="2"/>
    </row>
    <row r="20" spans="1:26" x14ac:dyDescent="0.3">
      <c r="A20" s="2"/>
      <c r="B20" s="22"/>
      <c r="Y20" s="23"/>
      <c r="Z20" s="2"/>
    </row>
    <row r="21" spans="1:26" x14ac:dyDescent="0.3">
      <c r="A21" s="2"/>
      <c r="B21" s="22"/>
      <c r="Y21" s="23"/>
      <c r="Z21" s="2"/>
    </row>
    <row r="22" spans="1:26" x14ac:dyDescent="0.3">
      <c r="A22" s="2"/>
      <c r="B22" s="22"/>
      <c r="Y22" s="23"/>
      <c r="Z22" s="2"/>
    </row>
    <row r="23" spans="1:26" x14ac:dyDescent="0.3">
      <c r="A23" s="2"/>
      <c r="B23" s="22"/>
      <c r="Y23" s="23"/>
      <c r="Z23" s="2"/>
    </row>
    <row r="24" spans="1:26" x14ac:dyDescent="0.3">
      <c r="A24" s="2"/>
      <c r="B24" s="22"/>
      <c r="Y24" s="23"/>
      <c r="Z24" s="2"/>
    </row>
    <row r="25" spans="1:26" x14ac:dyDescent="0.3">
      <c r="A25" s="2"/>
      <c r="B25" s="22"/>
      <c r="Y25" s="23"/>
      <c r="Z25" s="2"/>
    </row>
    <row r="26" spans="1:26" x14ac:dyDescent="0.3">
      <c r="A26" s="2"/>
      <c r="B26" s="22"/>
      <c r="Y26" s="23"/>
      <c r="Z26" s="2"/>
    </row>
    <row r="27" spans="1:26" x14ac:dyDescent="0.3">
      <c r="A27" s="2"/>
      <c r="B27" s="22"/>
      <c r="Y27" s="23"/>
      <c r="Z27" s="2"/>
    </row>
    <row r="28" spans="1:26" x14ac:dyDescent="0.3">
      <c r="A28" s="2"/>
      <c r="B28" s="22"/>
      <c r="Y28" s="23"/>
      <c r="Z28" s="2"/>
    </row>
    <row r="29" spans="1:26" x14ac:dyDescent="0.3">
      <c r="A29" s="2"/>
      <c r="B29" s="22"/>
      <c r="Y29" s="23"/>
      <c r="Z29" s="2"/>
    </row>
    <row r="30" spans="1:26" x14ac:dyDescent="0.3">
      <c r="A30" s="2"/>
      <c r="B30" s="22"/>
      <c r="Y30" s="23"/>
      <c r="Z30" s="2"/>
    </row>
    <row r="31" spans="1:26" x14ac:dyDescent="0.3">
      <c r="A31" s="2"/>
      <c r="B31" s="22"/>
      <c r="Y31" s="23"/>
      <c r="Z31" s="2"/>
    </row>
    <row r="32" spans="1:26" x14ac:dyDescent="0.3">
      <c r="A32" s="2"/>
      <c r="B32" s="22"/>
      <c r="Y32" s="23"/>
      <c r="Z32" s="2"/>
    </row>
    <row r="33" spans="1:26" x14ac:dyDescent="0.3">
      <c r="A33" s="2"/>
      <c r="B33" s="22"/>
      <c r="Y33" s="23"/>
      <c r="Z33" s="2"/>
    </row>
    <row r="34" spans="1:26" x14ac:dyDescent="0.3">
      <c r="A34" s="2"/>
      <c r="B34" s="22"/>
      <c r="Y34" s="23"/>
      <c r="Z34" s="2"/>
    </row>
    <row r="35" spans="1:26" x14ac:dyDescent="0.3">
      <c r="A35" s="2"/>
      <c r="B35" s="22"/>
      <c r="Y35" s="23"/>
      <c r="Z35" s="2"/>
    </row>
    <row r="36" spans="1:26" x14ac:dyDescent="0.3">
      <c r="A36" s="2"/>
      <c r="B36" s="22"/>
      <c r="Y36" s="23"/>
      <c r="Z36" s="2"/>
    </row>
    <row r="37" spans="1:26" x14ac:dyDescent="0.3">
      <c r="A37" s="2"/>
      <c r="B37" s="24"/>
      <c r="C37" s="25"/>
      <c r="D37" s="25"/>
      <c r="E37" s="25"/>
      <c r="F37" s="25"/>
      <c r="G37" s="25"/>
      <c r="H37" s="25"/>
      <c r="I37" s="25"/>
      <c r="J37" s="25"/>
      <c r="K37" s="25"/>
      <c r="L37" s="25"/>
      <c r="M37" s="25"/>
      <c r="N37" s="25"/>
      <c r="O37" s="25"/>
      <c r="P37" s="25"/>
      <c r="Q37" s="25"/>
      <c r="R37" s="25"/>
      <c r="S37" s="25"/>
      <c r="T37" s="25"/>
      <c r="U37" s="25"/>
      <c r="V37" s="25"/>
      <c r="W37" s="25"/>
      <c r="X37" s="25"/>
      <c r="Y37" s="26"/>
      <c r="Z37" s="2"/>
    </row>
    <row r="38" spans="1:26" x14ac:dyDescent="0.3">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x14ac:dyDescent="0.3">
      <c r="A39" s="2"/>
      <c r="B39" s="9"/>
      <c r="C39" s="10"/>
      <c r="D39" s="10"/>
      <c r="E39" s="10"/>
      <c r="F39" s="10"/>
      <c r="G39" s="10"/>
      <c r="H39" s="10"/>
      <c r="I39" s="10"/>
      <c r="J39" s="10"/>
      <c r="K39" s="10"/>
      <c r="L39" s="10"/>
      <c r="M39" s="10"/>
      <c r="N39" s="10"/>
      <c r="O39" s="10"/>
      <c r="P39" s="10"/>
      <c r="Q39" s="10"/>
      <c r="R39" s="10"/>
      <c r="S39" s="10"/>
      <c r="T39" s="10"/>
      <c r="U39" s="10"/>
      <c r="V39" s="10"/>
      <c r="W39" s="10"/>
      <c r="X39" s="10"/>
      <c r="Y39" s="11"/>
      <c r="Z39" s="2"/>
    </row>
    <row r="40" spans="1:26" x14ac:dyDescent="0.3">
      <c r="A40" s="2"/>
      <c r="B40" s="12"/>
      <c r="C40" s="171" t="s">
        <v>1</v>
      </c>
      <c r="D40" s="172"/>
      <c r="E40" s="172"/>
      <c r="F40" s="172"/>
      <c r="G40" s="172"/>
      <c r="H40" s="172"/>
      <c r="I40" s="172"/>
      <c r="J40" s="172"/>
      <c r="K40" s="172"/>
      <c r="L40" s="172"/>
      <c r="M40" s="172"/>
      <c r="N40" s="172"/>
      <c r="O40" s="172"/>
      <c r="P40" s="172"/>
      <c r="Q40" s="172"/>
      <c r="R40" s="172"/>
      <c r="S40" s="172"/>
      <c r="T40" s="172"/>
      <c r="U40" s="172"/>
      <c r="V40" s="172"/>
      <c r="W40" s="172"/>
      <c r="X40" s="173"/>
      <c r="Y40" s="15"/>
      <c r="Z40" s="2"/>
    </row>
    <row r="41" spans="1:26" ht="19.8" customHeight="1" x14ac:dyDescent="0.3">
      <c r="A41" s="2"/>
      <c r="B41" s="12"/>
      <c r="C41" s="174"/>
      <c r="D41" s="175"/>
      <c r="E41" s="175"/>
      <c r="F41" s="175"/>
      <c r="G41" s="175"/>
      <c r="H41" s="175"/>
      <c r="I41" s="175"/>
      <c r="J41" s="175"/>
      <c r="K41" s="175"/>
      <c r="L41" s="175"/>
      <c r="M41" s="175"/>
      <c r="N41" s="175"/>
      <c r="O41" s="175"/>
      <c r="P41" s="175"/>
      <c r="Q41" s="175"/>
      <c r="R41" s="175"/>
      <c r="S41" s="175"/>
      <c r="T41" s="175"/>
      <c r="U41" s="175"/>
      <c r="V41" s="175"/>
      <c r="W41" s="175"/>
      <c r="X41" s="176"/>
      <c r="Y41" s="15"/>
      <c r="Z41" s="2"/>
    </row>
    <row r="42" spans="1:26" x14ac:dyDescent="0.3">
      <c r="A42" s="2"/>
      <c r="B42" s="16"/>
      <c r="C42" s="17"/>
      <c r="D42" s="17"/>
      <c r="E42" s="17"/>
      <c r="F42" s="17"/>
      <c r="G42" s="17"/>
      <c r="H42" s="17"/>
      <c r="I42" s="17"/>
      <c r="J42" s="17"/>
      <c r="K42" s="17"/>
      <c r="L42" s="17"/>
      <c r="M42" s="17"/>
      <c r="N42" s="17"/>
      <c r="O42" s="17"/>
      <c r="P42" s="17"/>
      <c r="Q42" s="17"/>
      <c r="R42" s="17"/>
      <c r="S42" s="17"/>
      <c r="T42" s="17"/>
      <c r="U42" s="17"/>
      <c r="V42" s="17"/>
      <c r="W42" s="17"/>
      <c r="X42" s="17"/>
      <c r="Y42" s="18"/>
      <c r="Z42" s="2"/>
    </row>
    <row r="43" spans="1:26" x14ac:dyDescent="0.3">
      <c r="A43" s="8"/>
      <c r="B43" s="8"/>
      <c r="C43" s="8"/>
      <c r="D43" s="8"/>
      <c r="E43" s="8"/>
      <c r="F43" s="8"/>
      <c r="G43" s="8"/>
      <c r="H43" s="8"/>
      <c r="I43" s="8"/>
      <c r="J43" s="8"/>
      <c r="K43" s="8"/>
      <c r="L43" s="8"/>
      <c r="M43" s="8"/>
      <c r="N43" s="8"/>
      <c r="O43" s="8"/>
      <c r="P43" s="8"/>
      <c r="Q43" s="8"/>
      <c r="R43" s="8"/>
      <c r="S43" s="8"/>
      <c r="T43" s="8"/>
      <c r="U43" s="8"/>
      <c r="V43" s="8"/>
      <c r="W43" s="8"/>
      <c r="X43" s="8"/>
      <c r="Y43" s="8"/>
      <c r="Z43" s="8"/>
    </row>
    <row r="49" s="1" customFormat="1" hidden="1" x14ac:dyDescent="0.3"/>
    <row r="50" s="1" customFormat="1" hidden="1" x14ac:dyDescent="0.3"/>
    <row r="51" s="1" customFormat="1" hidden="1" x14ac:dyDescent="0.3"/>
    <row r="52" s="1" customFormat="1" hidden="1" x14ac:dyDescent="0.3"/>
    <row r="53" s="1" customFormat="1" hidden="1" x14ac:dyDescent="0.3"/>
    <row r="54" s="1" customFormat="1" hidden="1" x14ac:dyDescent="0.3"/>
    <row r="55" s="1" customFormat="1" hidden="1" x14ac:dyDescent="0.3"/>
    <row r="56" s="1" customFormat="1" hidden="1" x14ac:dyDescent="0.3"/>
    <row r="57" s="1" customFormat="1" hidden="1" x14ac:dyDescent="0.3"/>
  </sheetData>
  <mergeCells count="2">
    <mergeCell ref="C3:G4"/>
    <mergeCell ref="C40:X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2D068-DA95-4391-B5C3-67C2AA288608}">
  <sheetPr codeName="Sheet2"/>
  <dimension ref="A1:AG356"/>
  <sheetViews>
    <sheetView topLeftCell="A311" zoomScale="55" zoomScaleNormal="55" workbookViewId="0">
      <selection activeCell="I315" sqref="I315"/>
    </sheetView>
  </sheetViews>
  <sheetFormatPr defaultColWidth="0" defaultRowHeight="14.4" zeroHeight="1" x14ac:dyDescent="0.3"/>
  <cols>
    <col min="1" max="1" width="18.33203125" bestFit="1" customWidth="1"/>
    <col min="2" max="2" width="24.5546875" customWidth="1"/>
    <col min="3" max="3" width="17.44140625" bestFit="1" customWidth="1"/>
    <col min="4" max="4" width="12.77734375" customWidth="1"/>
    <col min="5" max="5" width="17.44140625" bestFit="1" customWidth="1"/>
    <col min="6" max="6" width="13.33203125" customWidth="1"/>
    <col min="7" max="7" width="11.33203125" customWidth="1"/>
    <col min="8" max="8" width="15" customWidth="1"/>
    <col min="9" max="10" width="16.33203125" customWidth="1"/>
    <col min="11" max="11" width="13.77734375" bestFit="1" customWidth="1"/>
    <col min="12" max="12" width="13.33203125" bestFit="1" customWidth="1"/>
    <col min="13" max="13" width="15" bestFit="1" customWidth="1"/>
    <col min="14" max="14" width="20.44140625" bestFit="1" customWidth="1"/>
    <col min="15" max="15" width="13.33203125" bestFit="1" customWidth="1"/>
    <col min="16" max="16" width="20.44140625" bestFit="1" customWidth="1"/>
    <col min="17" max="17" width="46.33203125" bestFit="1" customWidth="1"/>
    <col min="18" max="18" width="20.44140625" bestFit="1" customWidth="1"/>
    <col min="19" max="19" width="14.109375" bestFit="1" customWidth="1"/>
    <col min="20" max="20" width="13.88671875" bestFit="1" customWidth="1"/>
    <col min="21" max="21" width="21.5546875" customWidth="1"/>
    <col min="22" max="22" width="16.88671875" bestFit="1" customWidth="1"/>
    <col min="23" max="26" width="8.88671875" hidden="1" customWidth="1"/>
    <col min="27" max="16384" width="8.88671875" hidden="1"/>
  </cols>
  <sheetData>
    <row r="1" spans="1:26" x14ac:dyDescent="0.3">
      <c r="A1" s="3"/>
      <c r="B1" s="4"/>
      <c r="C1" s="4"/>
      <c r="D1" s="4"/>
      <c r="E1" s="4"/>
      <c r="F1" s="4"/>
      <c r="G1" s="4"/>
      <c r="H1" s="4"/>
      <c r="I1" s="4"/>
      <c r="J1" s="4"/>
      <c r="K1" s="4"/>
      <c r="L1" s="4"/>
      <c r="M1" s="4"/>
      <c r="N1" s="4"/>
      <c r="O1" s="4"/>
      <c r="P1" s="4"/>
      <c r="Q1" s="4"/>
      <c r="R1" s="4"/>
      <c r="S1" s="4"/>
      <c r="T1" s="4"/>
      <c r="U1" s="4"/>
      <c r="V1" s="4"/>
      <c r="W1" s="4"/>
      <c r="X1" s="4"/>
      <c r="Y1" s="4"/>
      <c r="Z1" s="5"/>
    </row>
    <row r="2" spans="1:26" x14ac:dyDescent="0.3">
      <c r="A2" s="6"/>
      <c r="B2" s="9"/>
      <c r="C2" s="10"/>
      <c r="D2" s="10"/>
      <c r="E2" s="10"/>
      <c r="F2" s="10"/>
      <c r="G2" s="10"/>
      <c r="H2" s="10"/>
      <c r="I2" s="10"/>
      <c r="J2" s="10"/>
      <c r="K2" s="10"/>
      <c r="L2" s="10"/>
      <c r="M2" s="10"/>
      <c r="N2" s="10"/>
      <c r="O2" s="10"/>
      <c r="P2" s="10"/>
      <c r="Q2" s="10"/>
      <c r="R2" s="10"/>
      <c r="S2" s="10"/>
      <c r="T2" s="10"/>
      <c r="U2" s="11"/>
      <c r="V2" s="2"/>
      <c r="W2" s="10"/>
      <c r="X2" s="10"/>
      <c r="Y2" s="11"/>
      <c r="Z2" s="7"/>
    </row>
    <row r="3" spans="1:26" ht="21" x14ac:dyDescent="0.3">
      <c r="A3" s="6"/>
      <c r="B3" s="12"/>
      <c r="C3" s="165" t="s">
        <v>2</v>
      </c>
      <c r="D3" s="166"/>
      <c r="E3" s="166"/>
      <c r="F3" s="166"/>
      <c r="G3" s="167"/>
      <c r="H3" s="13"/>
      <c r="I3" s="13"/>
      <c r="J3" s="14"/>
      <c r="K3" s="14"/>
      <c r="L3" s="14"/>
      <c r="M3" s="14"/>
      <c r="N3" s="14"/>
      <c r="O3" s="14"/>
      <c r="P3" s="14"/>
      <c r="Q3" s="14"/>
      <c r="R3" s="14"/>
      <c r="S3" s="14"/>
      <c r="T3" s="14"/>
      <c r="U3" s="15"/>
      <c r="V3" s="2"/>
      <c r="W3" s="14"/>
      <c r="X3" s="14"/>
      <c r="Y3" s="15"/>
      <c r="Z3" s="7"/>
    </row>
    <row r="4" spans="1:26" ht="21" x14ac:dyDescent="0.3">
      <c r="A4" s="6"/>
      <c r="B4" s="12"/>
      <c r="C4" s="168"/>
      <c r="D4" s="169"/>
      <c r="E4" s="169"/>
      <c r="F4" s="169"/>
      <c r="G4" s="170"/>
      <c r="H4" s="13"/>
      <c r="I4" s="13"/>
      <c r="J4" s="14"/>
      <c r="K4" s="14"/>
      <c r="L4" s="14"/>
      <c r="M4" s="14"/>
      <c r="N4" s="14"/>
      <c r="O4" s="14"/>
      <c r="P4" s="14"/>
      <c r="Q4" s="14"/>
      <c r="R4" s="14"/>
      <c r="S4" s="14"/>
      <c r="T4" s="14"/>
      <c r="U4" s="15"/>
      <c r="V4" s="2"/>
      <c r="W4" s="14"/>
      <c r="X4" s="14"/>
      <c r="Y4" s="15"/>
      <c r="Z4" s="7"/>
    </row>
    <row r="5" spans="1:26" x14ac:dyDescent="0.3">
      <c r="A5" s="6"/>
      <c r="B5" s="16"/>
      <c r="C5" s="17"/>
      <c r="D5" s="17"/>
      <c r="E5" s="17"/>
      <c r="F5" s="17"/>
      <c r="G5" s="17"/>
      <c r="H5" s="17"/>
      <c r="I5" s="17"/>
      <c r="J5" s="17"/>
      <c r="K5" s="17"/>
      <c r="L5" s="17"/>
      <c r="M5" s="17"/>
      <c r="N5" s="17"/>
      <c r="O5" s="17"/>
      <c r="P5" s="17"/>
      <c r="Q5" s="17"/>
      <c r="R5" s="17"/>
      <c r="S5" s="17"/>
      <c r="T5" s="17"/>
      <c r="U5" s="18"/>
      <c r="V5" s="2"/>
      <c r="W5" s="17"/>
      <c r="X5" s="17"/>
      <c r="Y5" s="18"/>
      <c r="Z5" s="7"/>
    </row>
    <row r="6" spans="1:26" x14ac:dyDescent="0.3">
      <c r="A6" s="6"/>
      <c r="B6" s="2"/>
      <c r="C6" s="2"/>
      <c r="D6" s="2"/>
      <c r="E6" s="2"/>
      <c r="F6" s="2"/>
      <c r="G6" s="2"/>
      <c r="H6" s="2"/>
      <c r="I6" s="2"/>
      <c r="J6" s="2"/>
      <c r="K6" s="2"/>
      <c r="L6" s="2"/>
      <c r="M6" s="2"/>
      <c r="N6" s="2"/>
      <c r="O6" s="2"/>
      <c r="P6" s="2"/>
      <c r="Q6" s="2"/>
      <c r="R6" s="2"/>
      <c r="S6" s="2"/>
      <c r="T6" s="2"/>
      <c r="U6" s="2"/>
      <c r="V6" s="2"/>
      <c r="W6" s="8"/>
      <c r="X6" s="8"/>
      <c r="Y6" s="8"/>
      <c r="Z6" s="7"/>
    </row>
    <row r="7" spans="1:26" x14ac:dyDescent="0.3">
      <c r="A7" s="2"/>
      <c r="B7" s="8"/>
      <c r="C7" s="8"/>
      <c r="D7" s="8"/>
      <c r="E7" s="8"/>
      <c r="F7" s="8"/>
      <c r="G7" s="8"/>
      <c r="H7" s="8"/>
      <c r="I7" s="8"/>
      <c r="J7" s="2"/>
      <c r="K7" s="2"/>
      <c r="L7" s="2"/>
      <c r="M7" s="2"/>
      <c r="N7" s="2"/>
      <c r="O7" s="2"/>
      <c r="P7" s="2"/>
      <c r="Q7" s="2"/>
      <c r="R7" s="2"/>
      <c r="S7" s="2"/>
      <c r="T7" s="2"/>
      <c r="U7" s="2"/>
      <c r="V7" s="2"/>
      <c r="Z7" s="27"/>
    </row>
    <row r="8" spans="1:26" x14ac:dyDescent="0.3">
      <c r="A8" s="2"/>
      <c r="B8" s="193" t="s">
        <v>435</v>
      </c>
      <c r="C8" s="194"/>
      <c r="D8" s="194"/>
      <c r="E8" s="194"/>
      <c r="F8" s="194"/>
      <c r="G8" s="194"/>
      <c r="H8" s="194"/>
      <c r="I8" s="195"/>
      <c r="J8" s="2"/>
      <c r="K8" s="2"/>
      <c r="L8" s="199" t="s">
        <v>3</v>
      </c>
      <c r="M8" s="200"/>
      <c r="N8" s="200"/>
      <c r="O8" s="200"/>
      <c r="P8" s="200"/>
      <c r="Q8" s="200"/>
      <c r="R8" s="200"/>
      <c r="S8" s="201"/>
      <c r="T8" s="2"/>
      <c r="U8" s="2"/>
      <c r="V8" s="2"/>
    </row>
    <row r="9" spans="1:26" x14ac:dyDescent="0.3">
      <c r="A9" s="2"/>
      <c r="B9" s="193"/>
      <c r="C9" s="194"/>
      <c r="D9" s="194"/>
      <c r="E9" s="194"/>
      <c r="F9" s="194"/>
      <c r="G9" s="194"/>
      <c r="H9" s="194"/>
      <c r="I9" s="195"/>
      <c r="J9" s="2"/>
      <c r="K9" s="2"/>
      <c r="L9" s="28" t="s">
        <v>4</v>
      </c>
      <c r="M9" s="29"/>
      <c r="N9" s="29" t="s">
        <v>15</v>
      </c>
      <c r="O9" s="29"/>
      <c r="P9" s="30" t="s">
        <v>26</v>
      </c>
      <c r="Q9" s="30"/>
      <c r="R9" s="30" t="s">
        <v>38</v>
      </c>
      <c r="S9" s="31"/>
      <c r="T9" s="2"/>
      <c r="U9" s="2"/>
      <c r="V9" s="2"/>
    </row>
    <row r="10" spans="1:26" x14ac:dyDescent="0.3">
      <c r="A10" s="2"/>
      <c r="B10" s="193"/>
      <c r="C10" s="194"/>
      <c r="D10" s="194"/>
      <c r="E10" s="194"/>
      <c r="F10" s="194"/>
      <c r="G10" s="194"/>
      <c r="H10" s="194"/>
      <c r="I10" s="195"/>
      <c r="J10" s="2"/>
      <c r="K10" s="2"/>
      <c r="L10" s="28" t="s">
        <v>5</v>
      </c>
      <c r="M10" s="29"/>
      <c r="N10" s="29" t="s">
        <v>16</v>
      </c>
      <c r="O10" s="29"/>
      <c r="P10" s="30" t="s">
        <v>27</v>
      </c>
      <c r="Q10" s="30"/>
      <c r="R10" s="30" t="s">
        <v>39</v>
      </c>
      <c r="S10" s="31"/>
      <c r="T10" s="2"/>
      <c r="U10" s="2"/>
      <c r="V10" s="2"/>
    </row>
    <row r="11" spans="1:26" x14ac:dyDescent="0.3">
      <c r="A11" s="2"/>
      <c r="B11" s="193"/>
      <c r="C11" s="194"/>
      <c r="D11" s="194"/>
      <c r="E11" s="194"/>
      <c r="F11" s="194"/>
      <c r="G11" s="194"/>
      <c r="H11" s="194"/>
      <c r="I11" s="195"/>
      <c r="J11" s="2"/>
      <c r="K11" s="2"/>
      <c r="L11" s="28" t="s">
        <v>6</v>
      </c>
      <c r="M11" s="29"/>
      <c r="N11" s="29" t="s">
        <v>17</v>
      </c>
      <c r="O11" s="29"/>
      <c r="P11" s="30" t="s">
        <v>28</v>
      </c>
      <c r="Q11" s="30"/>
      <c r="R11" s="30" t="s">
        <v>40</v>
      </c>
      <c r="S11" s="31"/>
      <c r="T11" s="2"/>
      <c r="U11" s="2"/>
      <c r="V11" s="2"/>
    </row>
    <row r="12" spans="1:26" x14ac:dyDescent="0.3">
      <c r="A12" s="2"/>
      <c r="B12" s="193"/>
      <c r="C12" s="194"/>
      <c r="D12" s="194"/>
      <c r="E12" s="194"/>
      <c r="F12" s="194"/>
      <c r="G12" s="194"/>
      <c r="H12" s="194"/>
      <c r="I12" s="195"/>
      <c r="J12" s="2"/>
      <c r="K12" s="2"/>
      <c r="L12" s="28" t="s">
        <v>7</v>
      </c>
      <c r="M12" s="29"/>
      <c r="N12" s="29" t="s">
        <v>18</v>
      </c>
      <c r="O12" s="29"/>
      <c r="P12" s="30" t="s">
        <v>29</v>
      </c>
      <c r="Q12" s="30"/>
      <c r="R12" s="30" t="s">
        <v>41</v>
      </c>
      <c r="S12" s="31"/>
      <c r="T12" s="2"/>
      <c r="U12" s="2"/>
      <c r="V12" s="2"/>
    </row>
    <row r="13" spans="1:26" x14ac:dyDescent="0.3">
      <c r="A13" s="2"/>
      <c r="B13" s="193"/>
      <c r="C13" s="194"/>
      <c r="D13" s="194"/>
      <c r="E13" s="194"/>
      <c r="F13" s="194"/>
      <c r="G13" s="194"/>
      <c r="H13" s="194"/>
      <c r="I13" s="195"/>
      <c r="J13" s="2"/>
      <c r="K13" s="2"/>
      <c r="L13" s="28" t="s">
        <v>8</v>
      </c>
      <c r="M13" s="29"/>
      <c r="N13" s="29" t="s">
        <v>19</v>
      </c>
      <c r="O13" s="29"/>
      <c r="P13" s="30" t="s">
        <v>30</v>
      </c>
      <c r="Q13" s="30"/>
      <c r="R13" s="30" t="s">
        <v>42</v>
      </c>
      <c r="S13" s="31"/>
      <c r="T13" s="2"/>
      <c r="U13" s="2"/>
      <c r="V13" s="2"/>
    </row>
    <row r="14" spans="1:26" x14ac:dyDescent="0.3">
      <c r="A14" s="2"/>
      <c r="B14" s="193"/>
      <c r="C14" s="194"/>
      <c r="D14" s="194"/>
      <c r="E14" s="194"/>
      <c r="F14" s="194"/>
      <c r="G14" s="194"/>
      <c r="H14" s="194"/>
      <c r="I14" s="195"/>
      <c r="J14" s="2"/>
      <c r="K14" s="2"/>
      <c r="L14" s="28" t="s">
        <v>9</v>
      </c>
      <c r="M14" s="29"/>
      <c r="N14" s="29" t="s">
        <v>20</v>
      </c>
      <c r="O14" s="29"/>
      <c r="P14" s="30" t="s">
        <v>31</v>
      </c>
      <c r="Q14" s="30"/>
      <c r="R14" s="30" t="s">
        <v>43</v>
      </c>
      <c r="S14" s="31"/>
      <c r="T14" s="2"/>
      <c r="U14" s="2"/>
      <c r="V14" s="2"/>
    </row>
    <row r="15" spans="1:26" x14ac:dyDescent="0.3">
      <c r="A15" s="2"/>
      <c r="B15" s="193"/>
      <c r="C15" s="194"/>
      <c r="D15" s="194"/>
      <c r="E15" s="194"/>
      <c r="F15" s="194"/>
      <c r="G15" s="194"/>
      <c r="H15" s="194"/>
      <c r="I15" s="195"/>
      <c r="J15" s="2"/>
      <c r="K15" s="2"/>
      <c r="L15" s="28" t="s">
        <v>10</v>
      </c>
      <c r="M15" s="29"/>
      <c r="N15" s="29" t="s">
        <v>21</v>
      </c>
      <c r="O15" s="29"/>
      <c r="P15" s="30" t="s">
        <v>32</v>
      </c>
      <c r="Q15" s="30"/>
      <c r="R15" s="30" t="s">
        <v>44</v>
      </c>
      <c r="S15" s="31"/>
      <c r="T15" s="2"/>
      <c r="U15" s="2"/>
      <c r="V15" s="2"/>
    </row>
    <row r="16" spans="1:26" x14ac:dyDescent="0.3">
      <c r="A16" s="2"/>
      <c r="B16" s="193"/>
      <c r="C16" s="194"/>
      <c r="D16" s="194"/>
      <c r="E16" s="194"/>
      <c r="F16" s="194"/>
      <c r="G16" s="194"/>
      <c r="H16" s="194"/>
      <c r="I16" s="195"/>
      <c r="J16" s="2"/>
      <c r="K16" s="2"/>
      <c r="L16" s="28" t="s">
        <v>585</v>
      </c>
      <c r="M16" s="29"/>
      <c r="N16" s="29" t="s">
        <v>22</v>
      </c>
      <c r="O16" s="29"/>
      <c r="P16" s="30" t="s">
        <v>33</v>
      </c>
      <c r="Q16" s="30"/>
      <c r="R16" s="30" t="s">
        <v>1097</v>
      </c>
      <c r="S16" s="31"/>
      <c r="T16" s="2"/>
      <c r="U16" s="2"/>
      <c r="V16" s="2"/>
    </row>
    <row r="17" spans="1:22" x14ac:dyDescent="0.3">
      <c r="A17" s="2"/>
      <c r="B17" s="193"/>
      <c r="C17" s="194"/>
      <c r="D17" s="194"/>
      <c r="E17" s="194"/>
      <c r="F17" s="194"/>
      <c r="G17" s="194"/>
      <c r="H17" s="194"/>
      <c r="I17" s="195"/>
      <c r="J17" s="2"/>
      <c r="K17" s="2"/>
      <c r="L17" s="28" t="s">
        <v>11</v>
      </c>
      <c r="M17" s="29"/>
      <c r="N17" s="29" t="s">
        <v>23</v>
      </c>
      <c r="O17" s="29"/>
      <c r="P17" s="30" t="s">
        <v>34</v>
      </c>
      <c r="Q17" s="30"/>
      <c r="R17" s="30"/>
      <c r="S17" s="31"/>
      <c r="T17" s="2"/>
      <c r="U17" s="2"/>
      <c r="V17" s="2"/>
    </row>
    <row r="18" spans="1:22" x14ac:dyDescent="0.3">
      <c r="A18" s="2"/>
      <c r="B18" s="193"/>
      <c r="C18" s="194"/>
      <c r="D18" s="194"/>
      <c r="E18" s="194"/>
      <c r="F18" s="194"/>
      <c r="G18" s="194"/>
      <c r="H18" s="194"/>
      <c r="I18" s="195"/>
      <c r="J18" s="2"/>
      <c r="K18" s="2"/>
      <c r="L18" s="28" t="s">
        <v>12</v>
      </c>
      <c r="M18" s="29"/>
      <c r="N18" s="29" t="s">
        <v>24</v>
      </c>
      <c r="O18" s="29"/>
      <c r="P18" s="30" t="s">
        <v>35</v>
      </c>
      <c r="Q18" s="30"/>
      <c r="R18" s="30"/>
      <c r="S18" s="31"/>
      <c r="T18" s="2"/>
      <c r="U18" s="2"/>
      <c r="V18" s="2"/>
    </row>
    <row r="19" spans="1:22" x14ac:dyDescent="0.3">
      <c r="A19" s="2"/>
      <c r="B19" s="193"/>
      <c r="C19" s="194"/>
      <c r="D19" s="194"/>
      <c r="E19" s="194"/>
      <c r="F19" s="194"/>
      <c r="G19" s="194"/>
      <c r="H19" s="194"/>
      <c r="I19" s="195"/>
      <c r="J19" s="2"/>
      <c r="K19" s="2"/>
      <c r="L19" s="28" t="s">
        <v>13</v>
      </c>
      <c r="M19" s="29"/>
      <c r="N19" s="29" t="s">
        <v>25</v>
      </c>
      <c r="O19" s="29"/>
      <c r="P19" s="30" t="s">
        <v>36</v>
      </c>
      <c r="Q19" s="30"/>
      <c r="R19" s="30"/>
      <c r="S19" s="31"/>
      <c r="T19" s="2"/>
      <c r="U19" s="2"/>
      <c r="V19" s="2"/>
    </row>
    <row r="20" spans="1:22" x14ac:dyDescent="0.3">
      <c r="A20" s="2"/>
      <c r="B20" s="196"/>
      <c r="C20" s="197"/>
      <c r="D20" s="197"/>
      <c r="E20" s="197"/>
      <c r="F20" s="197"/>
      <c r="G20" s="197"/>
      <c r="H20" s="197"/>
      <c r="I20" s="198"/>
      <c r="J20" s="2"/>
      <c r="K20" s="2"/>
      <c r="L20" s="32" t="s">
        <v>14</v>
      </c>
      <c r="M20" s="33"/>
      <c r="N20" s="33" t="s">
        <v>815</v>
      </c>
      <c r="O20" s="33"/>
      <c r="P20" s="34" t="s">
        <v>37</v>
      </c>
      <c r="Q20" s="34"/>
      <c r="R20" s="34"/>
      <c r="S20" s="35"/>
      <c r="T20" s="2"/>
      <c r="U20" s="2"/>
      <c r="V20" s="2"/>
    </row>
    <row r="21" spans="1:22" x14ac:dyDescent="0.3">
      <c r="A21" s="2"/>
      <c r="B21" s="2"/>
      <c r="C21" s="2"/>
      <c r="D21" s="2"/>
      <c r="E21" s="2"/>
      <c r="F21" s="2"/>
      <c r="G21" s="2"/>
      <c r="H21" s="2"/>
      <c r="I21" s="2"/>
      <c r="J21" s="2"/>
      <c r="K21" s="2"/>
      <c r="L21" s="2"/>
      <c r="M21" s="2"/>
      <c r="N21" s="2"/>
      <c r="O21" s="2"/>
      <c r="P21" s="2"/>
      <c r="Q21" s="2"/>
      <c r="R21" s="2"/>
      <c r="S21" s="2"/>
      <c r="T21" s="2"/>
      <c r="U21" s="2"/>
      <c r="V21" s="2"/>
    </row>
    <row r="22" spans="1:22" x14ac:dyDescent="0.3">
      <c r="A22" s="2"/>
      <c r="B22" s="2"/>
      <c r="C22" s="2"/>
      <c r="D22" s="2"/>
      <c r="E22" s="2"/>
      <c r="F22" s="2"/>
      <c r="G22" s="2"/>
      <c r="H22" s="2"/>
      <c r="I22" s="2"/>
      <c r="J22" s="2"/>
      <c r="K22" s="2"/>
      <c r="L22" s="2"/>
      <c r="M22" s="2"/>
      <c r="N22" s="2"/>
      <c r="O22" s="2"/>
      <c r="P22" s="2"/>
      <c r="Q22" s="2"/>
      <c r="R22" s="2"/>
      <c r="S22" s="2"/>
      <c r="T22" s="2"/>
      <c r="U22" s="2"/>
      <c r="V22" s="2"/>
    </row>
    <row r="23" spans="1:22" x14ac:dyDescent="0.3">
      <c r="A23" s="2"/>
      <c r="B23" s="181" t="s">
        <v>95</v>
      </c>
      <c r="C23" s="182"/>
      <c r="D23" s="182"/>
      <c r="E23" s="182"/>
      <c r="F23" s="182"/>
      <c r="G23" s="182"/>
      <c r="H23" s="182"/>
      <c r="I23" s="182"/>
      <c r="J23" s="182"/>
      <c r="K23" s="182"/>
      <c r="L23" s="182"/>
      <c r="M23" s="182"/>
      <c r="N23" s="182"/>
      <c r="O23" s="182"/>
      <c r="P23" s="182"/>
      <c r="Q23" s="182"/>
      <c r="R23" s="182"/>
      <c r="S23" s="182"/>
      <c r="T23" s="183"/>
      <c r="U23" s="36"/>
      <c r="V23" s="2"/>
    </row>
    <row r="24" spans="1:22" x14ac:dyDescent="0.3">
      <c r="A24" s="2"/>
      <c r="B24" s="184"/>
      <c r="C24" s="185"/>
      <c r="D24" s="185"/>
      <c r="E24" s="185"/>
      <c r="F24" s="185"/>
      <c r="G24" s="185"/>
      <c r="H24" s="185"/>
      <c r="I24" s="185"/>
      <c r="J24" s="185"/>
      <c r="K24" s="185"/>
      <c r="L24" s="185"/>
      <c r="M24" s="185"/>
      <c r="N24" s="185"/>
      <c r="O24" s="185"/>
      <c r="P24" s="185"/>
      <c r="Q24" s="185"/>
      <c r="R24" s="185"/>
      <c r="S24" s="185"/>
      <c r="T24" s="186"/>
      <c r="U24" s="36"/>
      <c r="V24" s="2"/>
    </row>
    <row r="25" spans="1:22" x14ac:dyDescent="0.3">
      <c r="A25" s="2"/>
      <c r="B25" s="184"/>
      <c r="C25" s="185"/>
      <c r="D25" s="185"/>
      <c r="E25" s="185"/>
      <c r="F25" s="185"/>
      <c r="G25" s="185"/>
      <c r="H25" s="185"/>
      <c r="I25" s="185"/>
      <c r="J25" s="185"/>
      <c r="K25" s="185"/>
      <c r="L25" s="185"/>
      <c r="M25" s="185"/>
      <c r="N25" s="185"/>
      <c r="O25" s="185"/>
      <c r="P25" s="185"/>
      <c r="Q25" s="185"/>
      <c r="R25" s="185"/>
      <c r="S25" s="185"/>
      <c r="T25" s="186"/>
      <c r="U25" s="36"/>
      <c r="V25" s="2"/>
    </row>
    <row r="26" spans="1:22" x14ac:dyDescent="0.3">
      <c r="A26" s="2"/>
      <c r="B26" s="69"/>
      <c r="C26" s="69"/>
      <c r="D26" s="69"/>
      <c r="E26" s="69"/>
      <c r="F26" s="69"/>
      <c r="G26" s="69"/>
      <c r="H26" s="69"/>
      <c r="I26" s="69"/>
      <c r="J26" s="69"/>
      <c r="K26" s="69"/>
      <c r="L26" s="69"/>
      <c r="M26" s="69"/>
      <c r="N26" s="69"/>
      <c r="O26" s="69"/>
      <c r="P26" s="69"/>
      <c r="Q26" s="69"/>
      <c r="R26" s="69"/>
      <c r="S26" s="69"/>
      <c r="T26" s="69"/>
      <c r="U26" s="40"/>
      <c r="V26" s="2"/>
    </row>
    <row r="27" spans="1:22" x14ac:dyDescent="0.3">
      <c r="A27" s="2"/>
      <c r="B27" s="68"/>
      <c r="C27" s="68"/>
      <c r="D27" s="68"/>
      <c r="E27" s="68"/>
      <c r="F27" s="68"/>
      <c r="G27" s="68"/>
      <c r="H27" s="68"/>
      <c r="I27" s="68"/>
      <c r="J27" s="68"/>
      <c r="K27" s="68"/>
      <c r="L27" s="68"/>
      <c r="M27" s="68"/>
      <c r="N27" s="68"/>
      <c r="O27" s="68"/>
      <c r="P27" s="68"/>
      <c r="Q27" s="68"/>
      <c r="R27" s="68"/>
      <c r="S27" s="68"/>
      <c r="T27" s="68"/>
      <c r="U27" s="40"/>
      <c r="V27" s="2"/>
    </row>
    <row r="28" spans="1:22" x14ac:dyDescent="0.3">
      <c r="A28" s="2"/>
      <c r="B28" s="202" t="s">
        <v>45</v>
      </c>
      <c r="C28" s="203"/>
      <c r="D28" s="85" t="s">
        <v>46</v>
      </c>
      <c r="E28" s="71">
        <v>1</v>
      </c>
      <c r="F28" s="71">
        <v>2</v>
      </c>
      <c r="G28" s="71">
        <v>3</v>
      </c>
      <c r="H28" s="71">
        <v>4</v>
      </c>
      <c r="I28" s="71">
        <v>5</v>
      </c>
      <c r="J28" s="71">
        <v>6</v>
      </c>
      <c r="K28" s="71">
        <v>7</v>
      </c>
      <c r="L28" s="71">
        <v>8</v>
      </c>
      <c r="M28" s="71">
        <v>9</v>
      </c>
      <c r="N28" s="71">
        <v>10</v>
      </c>
      <c r="O28" s="71">
        <v>11</v>
      </c>
      <c r="P28" s="71">
        <v>12</v>
      </c>
      <c r="Q28" s="72">
        <v>13</v>
      </c>
      <c r="R28" s="44"/>
      <c r="S28" s="44"/>
      <c r="T28" s="45"/>
      <c r="U28" s="2"/>
      <c r="V28" s="2"/>
    </row>
    <row r="29" spans="1:22" x14ac:dyDescent="0.3">
      <c r="A29" s="2"/>
      <c r="B29" s="179"/>
      <c r="C29" s="180"/>
      <c r="D29" s="85" t="s">
        <v>47</v>
      </c>
      <c r="E29" s="73" t="s">
        <v>86</v>
      </c>
      <c r="F29" s="73" t="s">
        <v>87</v>
      </c>
      <c r="G29" s="73" t="s">
        <v>86</v>
      </c>
      <c r="H29" s="73" t="s">
        <v>87</v>
      </c>
      <c r="I29" s="73" t="s">
        <v>88</v>
      </c>
      <c r="J29" s="73" t="s">
        <v>87</v>
      </c>
      <c r="K29" s="73" t="s">
        <v>89</v>
      </c>
      <c r="L29" s="73" t="s">
        <v>90</v>
      </c>
      <c r="M29" s="73" t="s">
        <v>91</v>
      </c>
      <c r="N29" s="73" t="s">
        <v>92</v>
      </c>
      <c r="O29" s="73" t="s">
        <v>93</v>
      </c>
      <c r="P29" s="73" t="s">
        <v>94</v>
      </c>
      <c r="Q29" s="74" t="s">
        <v>125</v>
      </c>
      <c r="R29" s="44"/>
      <c r="S29" s="44"/>
      <c r="T29" s="45"/>
      <c r="U29" s="2"/>
      <c r="V29" s="2"/>
    </row>
    <row r="30" spans="1:22" x14ac:dyDescent="0.3">
      <c r="A30" s="2"/>
      <c r="B30" s="177" t="s">
        <v>48</v>
      </c>
      <c r="C30" s="178"/>
      <c r="D30" s="86" t="s">
        <v>46</v>
      </c>
      <c r="E30" s="75">
        <v>1</v>
      </c>
      <c r="F30" s="75">
        <v>2</v>
      </c>
      <c r="G30" s="75">
        <v>3</v>
      </c>
      <c r="H30" s="75">
        <v>4</v>
      </c>
      <c r="I30" s="75">
        <v>5</v>
      </c>
      <c r="J30" s="75">
        <v>6</v>
      </c>
      <c r="K30" s="75">
        <v>7</v>
      </c>
      <c r="L30" s="75">
        <v>8</v>
      </c>
      <c r="M30" s="75">
        <v>9</v>
      </c>
      <c r="N30" s="75">
        <v>10</v>
      </c>
      <c r="O30" s="75">
        <v>11</v>
      </c>
      <c r="P30" s="75">
        <v>12</v>
      </c>
      <c r="Q30" s="75">
        <v>13</v>
      </c>
      <c r="R30" s="77">
        <v>14</v>
      </c>
      <c r="S30" s="44"/>
      <c r="T30" s="45"/>
      <c r="U30" s="2"/>
      <c r="V30" s="2"/>
    </row>
    <row r="31" spans="1:22" ht="28.8" x14ac:dyDescent="0.3">
      <c r="A31" s="2"/>
      <c r="B31" s="179"/>
      <c r="C31" s="180"/>
      <c r="D31" s="84" t="s">
        <v>47</v>
      </c>
      <c r="E31" s="76" t="s">
        <v>87</v>
      </c>
      <c r="F31" s="76" t="s">
        <v>96</v>
      </c>
      <c r="G31" s="76" t="s">
        <v>97</v>
      </c>
      <c r="H31" s="76" t="s">
        <v>98</v>
      </c>
      <c r="I31" s="76" t="s">
        <v>87</v>
      </c>
      <c r="J31" s="76" t="s">
        <v>87</v>
      </c>
      <c r="K31" s="76" t="s">
        <v>99</v>
      </c>
      <c r="L31" s="76" t="s">
        <v>100</v>
      </c>
      <c r="M31" s="76" t="s">
        <v>101</v>
      </c>
      <c r="N31" s="76" t="s">
        <v>102</v>
      </c>
      <c r="O31" s="76" t="s">
        <v>103</v>
      </c>
      <c r="P31" s="76" t="s">
        <v>104</v>
      </c>
      <c r="Q31" s="76" t="s">
        <v>105</v>
      </c>
      <c r="R31" s="78" t="s">
        <v>126</v>
      </c>
      <c r="S31" s="44"/>
      <c r="T31" s="45"/>
      <c r="U31" s="2"/>
      <c r="V31" s="2"/>
    </row>
    <row r="32" spans="1:22" x14ac:dyDescent="0.3">
      <c r="A32" s="2"/>
      <c r="B32" s="177" t="s">
        <v>49</v>
      </c>
      <c r="C32" s="178"/>
      <c r="D32" s="86" t="s">
        <v>46</v>
      </c>
      <c r="E32" s="75">
        <v>1</v>
      </c>
      <c r="F32" s="75">
        <v>2</v>
      </c>
      <c r="G32" s="75">
        <v>3</v>
      </c>
      <c r="H32" s="75">
        <v>4</v>
      </c>
      <c r="I32" s="75">
        <v>5</v>
      </c>
      <c r="J32" s="75">
        <v>6</v>
      </c>
      <c r="K32" s="75">
        <v>7</v>
      </c>
      <c r="L32" s="75">
        <v>8</v>
      </c>
      <c r="M32" s="75">
        <v>9</v>
      </c>
      <c r="N32" s="75">
        <v>10</v>
      </c>
      <c r="O32" s="75">
        <v>11</v>
      </c>
      <c r="P32" s="75">
        <v>12</v>
      </c>
      <c r="Q32" s="77">
        <v>13</v>
      </c>
      <c r="R32" s="44"/>
      <c r="S32" s="44"/>
      <c r="T32" s="45"/>
      <c r="U32" s="2"/>
      <c r="V32" s="2"/>
    </row>
    <row r="33" spans="1:22" x14ac:dyDescent="0.3">
      <c r="A33" s="2"/>
      <c r="B33" s="179"/>
      <c r="C33" s="180"/>
      <c r="D33" s="85" t="s">
        <v>47</v>
      </c>
      <c r="E33" s="73" t="s">
        <v>106</v>
      </c>
      <c r="F33" s="73" t="s">
        <v>107</v>
      </c>
      <c r="G33" s="73" t="s">
        <v>87</v>
      </c>
      <c r="H33" s="73" t="s">
        <v>87</v>
      </c>
      <c r="I33" s="73" t="s">
        <v>108</v>
      </c>
      <c r="J33" s="73" t="s">
        <v>87</v>
      </c>
      <c r="K33" s="73" t="s">
        <v>109</v>
      </c>
      <c r="L33" s="73" t="s">
        <v>110</v>
      </c>
      <c r="M33" s="73" t="s">
        <v>111</v>
      </c>
      <c r="N33" s="73" t="s">
        <v>112</v>
      </c>
      <c r="O33" s="73" t="s">
        <v>113</v>
      </c>
      <c r="P33" s="73" t="s">
        <v>114</v>
      </c>
      <c r="Q33" s="74" t="s">
        <v>127</v>
      </c>
      <c r="R33" s="44"/>
      <c r="S33" s="44"/>
      <c r="T33" s="45"/>
      <c r="U33" s="2"/>
      <c r="V33" s="2"/>
    </row>
    <row r="34" spans="1:22" x14ac:dyDescent="0.3">
      <c r="A34" s="2"/>
      <c r="B34" s="177" t="s">
        <v>50</v>
      </c>
      <c r="C34" s="178"/>
      <c r="D34" s="86" t="s">
        <v>46</v>
      </c>
      <c r="E34" s="75">
        <v>1</v>
      </c>
      <c r="F34" s="75">
        <v>2</v>
      </c>
      <c r="G34" s="75">
        <v>3</v>
      </c>
      <c r="H34" s="75">
        <v>4</v>
      </c>
      <c r="I34" s="75">
        <v>5</v>
      </c>
      <c r="J34" s="75">
        <v>6</v>
      </c>
      <c r="K34" s="75">
        <v>7</v>
      </c>
      <c r="L34" s="75">
        <v>8</v>
      </c>
      <c r="M34" s="75">
        <v>9</v>
      </c>
      <c r="N34" s="75">
        <v>10</v>
      </c>
      <c r="O34" s="75">
        <v>11</v>
      </c>
      <c r="P34" s="75">
        <v>12</v>
      </c>
      <c r="Q34" s="75">
        <v>13</v>
      </c>
      <c r="R34" s="77">
        <v>14</v>
      </c>
      <c r="S34" s="44"/>
      <c r="T34" s="45"/>
      <c r="U34" s="2"/>
      <c r="V34" s="2"/>
    </row>
    <row r="35" spans="1:22" x14ac:dyDescent="0.3">
      <c r="A35" s="2"/>
      <c r="B35" s="179"/>
      <c r="C35" s="180"/>
      <c r="D35" s="84" t="s">
        <v>47</v>
      </c>
      <c r="E35" s="76" t="s">
        <v>115</v>
      </c>
      <c r="F35" s="76" t="s">
        <v>116</v>
      </c>
      <c r="G35" s="76" t="s">
        <v>117</v>
      </c>
      <c r="H35" s="76" t="s">
        <v>87</v>
      </c>
      <c r="I35" s="76" t="s">
        <v>118</v>
      </c>
      <c r="J35" s="76" t="s">
        <v>87</v>
      </c>
      <c r="K35" s="76" t="s">
        <v>119</v>
      </c>
      <c r="L35" s="76" t="s">
        <v>120</v>
      </c>
      <c r="M35" s="76" t="s">
        <v>87</v>
      </c>
      <c r="N35" s="76" t="s">
        <v>121</v>
      </c>
      <c r="O35" s="76" t="s">
        <v>122</v>
      </c>
      <c r="P35" s="76" t="s">
        <v>123</v>
      </c>
      <c r="Q35" s="76" t="s">
        <v>124</v>
      </c>
      <c r="R35" s="78" t="s">
        <v>128</v>
      </c>
      <c r="S35" s="44"/>
      <c r="T35" s="45"/>
      <c r="U35" s="2"/>
      <c r="V35" s="2"/>
    </row>
    <row r="36" spans="1:22" x14ac:dyDescent="0.3">
      <c r="A36" s="2"/>
      <c r="B36" s="177" t="s">
        <v>51</v>
      </c>
      <c r="C36" s="178"/>
      <c r="D36" s="86" t="s">
        <v>46</v>
      </c>
      <c r="E36" s="75">
        <v>1</v>
      </c>
      <c r="F36" s="75">
        <v>2</v>
      </c>
      <c r="G36" s="75">
        <v>3</v>
      </c>
      <c r="H36" s="75">
        <v>4</v>
      </c>
      <c r="I36" s="75">
        <v>5</v>
      </c>
      <c r="J36" s="75">
        <v>6</v>
      </c>
      <c r="K36" s="75">
        <v>7</v>
      </c>
      <c r="L36" s="75">
        <v>8</v>
      </c>
      <c r="M36" s="75">
        <v>9</v>
      </c>
      <c r="N36" s="75">
        <v>10</v>
      </c>
      <c r="O36" s="75">
        <v>11</v>
      </c>
      <c r="P36" s="75">
        <v>12</v>
      </c>
      <c r="Q36" s="75">
        <v>13</v>
      </c>
      <c r="R36" s="77">
        <v>14</v>
      </c>
      <c r="S36" s="44"/>
      <c r="T36" s="45"/>
      <c r="U36" s="2"/>
      <c r="V36" s="2"/>
    </row>
    <row r="37" spans="1:22" x14ac:dyDescent="0.3">
      <c r="A37" s="2"/>
      <c r="B37" s="179"/>
      <c r="C37" s="180"/>
      <c r="D37" s="84" t="s">
        <v>47</v>
      </c>
      <c r="E37" s="76" t="s">
        <v>120</v>
      </c>
      <c r="F37" s="76" t="s">
        <v>129</v>
      </c>
      <c r="G37" s="76" t="s">
        <v>87</v>
      </c>
      <c r="H37" s="76" t="s">
        <v>130</v>
      </c>
      <c r="I37" s="76" t="s">
        <v>87</v>
      </c>
      <c r="J37" s="76" t="s">
        <v>87</v>
      </c>
      <c r="K37" s="76" t="s">
        <v>87</v>
      </c>
      <c r="L37" s="76" t="s">
        <v>87</v>
      </c>
      <c r="M37" s="76" t="s">
        <v>131</v>
      </c>
      <c r="N37" s="76" t="s">
        <v>132</v>
      </c>
      <c r="O37" s="76" t="s">
        <v>87</v>
      </c>
      <c r="P37" s="76" t="s">
        <v>133</v>
      </c>
      <c r="Q37" s="76" t="s">
        <v>134</v>
      </c>
      <c r="R37" s="78" t="s">
        <v>135</v>
      </c>
      <c r="S37" s="44"/>
      <c r="T37" s="45"/>
      <c r="U37" s="2"/>
      <c r="V37" s="2"/>
    </row>
    <row r="38" spans="1:22" x14ac:dyDescent="0.3">
      <c r="A38" s="2"/>
      <c r="B38" s="177" t="s">
        <v>52</v>
      </c>
      <c r="C38" s="178"/>
      <c r="D38" s="86" t="s">
        <v>46</v>
      </c>
      <c r="E38" s="75">
        <v>1</v>
      </c>
      <c r="F38" s="75">
        <v>2</v>
      </c>
      <c r="G38" s="75">
        <v>3</v>
      </c>
      <c r="H38" s="75">
        <v>4</v>
      </c>
      <c r="I38" s="75">
        <v>5</v>
      </c>
      <c r="J38" s="75">
        <v>6</v>
      </c>
      <c r="K38" s="75">
        <v>7</v>
      </c>
      <c r="L38" s="75">
        <v>8</v>
      </c>
      <c r="M38" s="75">
        <v>9</v>
      </c>
      <c r="N38" s="75">
        <v>10</v>
      </c>
      <c r="O38" s="75">
        <v>11</v>
      </c>
      <c r="P38" s="75">
        <v>12</v>
      </c>
      <c r="Q38" s="75">
        <v>13</v>
      </c>
      <c r="R38" s="77">
        <v>14</v>
      </c>
      <c r="S38" s="44"/>
      <c r="T38" s="45"/>
      <c r="U38" s="2"/>
      <c r="V38" s="2"/>
    </row>
    <row r="39" spans="1:22" x14ac:dyDescent="0.3">
      <c r="A39" s="2"/>
      <c r="B39" s="179"/>
      <c r="C39" s="180"/>
      <c r="D39" s="84" t="s">
        <v>47</v>
      </c>
      <c r="E39" s="76" t="s">
        <v>87</v>
      </c>
      <c r="F39" s="76" t="s">
        <v>136</v>
      </c>
      <c r="G39" s="76" t="s">
        <v>87</v>
      </c>
      <c r="H39" s="76" t="s">
        <v>137</v>
      </c>
      <c r="I39" s="76" t="s">
        <v>87</v>
      </c>
      <c r="J39" s="76" t="s">
        <v>138</v>
      </c>
      <c r="K39" s="76" t="s">
        <v>87</v>
      </c>
      <c r="L39" s="76" t="s">
        <v>139</v>
      </c>
      <c r="M39" s="76" t="s">
        <v>140</v>
      </c>
      <c r="N39" s="76" t="s">
        <v>87</v>
      </c>
      <c r="O39" s="76" t="s">
        <v>141</v>
      </c>
      <c r="P39" s="76" t="s">
        <v>142</v>
      </c>
      <c r="Q39" s="76" t="s">
        <v>143</v>
      </c>
      <c r="R39" s="78" t="s">
        <v>144</v>
      </c>
      <c r="S39" s="44"/>
      <c r="T39" s="45"/>
      <c r="U39" s="2"/>
      <c r="V39" s="2"/>
    </row>
    <row r="40" spans="1:22" x14ac:dyDescent="0.3">
      <c r="A40" s="2"/>
      <c r="B40" s="177" t="s">
        <v>53</v>
      </c>
      <c r="C40" s="178"/>
      <c r="D40" s="86" t="s">
        <v>46</v>
      </c>
      <c r="E40" s="75">
        <v>1</v>
      </c>
      <c r="F40" s="75">
        <v>2</v>
      </c>
      <c r="G40" s="75">
        <v>3</v>
      </c>
      <c r="H40" s="75">
        <v>4</v>
      </c>
      <c r="I40" s="75">
        <v>5</v>
      </c>
      <c r="J40" s="75">
        <v>6</v>
      </c>
      <c r="K40" s="75">
        <v>7</v>
      </c>
      <c r="L40" s="75">
        <v>8</v>
      </c>
      <c r="M40" s="75">
        <v>9</v>
      </c>
      <c r="N40" s="75">
        <v>10</v>
      </c>
      <c r="O40" s="75">
        <v>11</v>
      </c>
      <c r="P40" s="75">
        <v>12</v>
      </c>
      <c r="Q40" s="75">
        <v>13</v>
      </c>
      <c r="R40" s="77">
        <v>14</v>
      </c>
      <c r="S40" s="44"/>
      <c r="T40" s="45"/>
      <c r="U40" s="2"/>
      <c r="V40" s="2"/>
    </row>
    <row r="41" spans="1:22" x14ac:dyDescent="0.3">
      <c r="A41" s="2"/>
      <c r="B41" s="179"/>
      <c r="C41" s="180"/>
      <c r="D41" s="85" t="s">
        <v>47</v>
      </c>
      <c r="E41" s="73" t="s">
        <v>87</v>
      </c>
      <c r="F41" s="73" t="s">
        <v>87</v>
      </c>
      <c r="G41" s="73" t="s">
        <v>87</v>
      </c>
      <c r="H41" s="73" t="s">
        <v>145</v>
      </c>
      <c r="I41" s="73" t="s">
        <v>146</v>
      </c>
      <c r="J41" s="73" t="s">
        <v>147</v>
      </c>
      <c r="K41" s="73" t="s">
        <v>148</v>
      </c>
      <c r="L41" s="73" t="s">
        <v>149</v>
      </c>
      <c r="M41" s="73" t="s">
        <v>150</v>
      </c>
      <c r="N41" s="73" t="s">
        <v>153</v>
      </c>
      <c r="O41" s="73" t="s">
        <v>152</v>
      </c>
      <c r="P41" s="73" t="s">
        <v>154</v>
      </c>
      <c r="Q41" s="73" t="s">
        <v>145</v>
      </c>
      <c r="R41" s="74" t="s">
        <v>155</v>
      </c>
      <c r="S41" s="44"/>
      <c r="T41" s="45"/>
      <c r="U41" s="2"/>
      <c r="V41" s="2"/>
    </row>
    <row r="42" spans="1:22" x14ac:dyDescent="0.3">
      <c r="A42" s="2"/>
      <c r="B42" s="177" t="s">
        <v>586</v>
      </c>
      <c r="C42" s="178"/>
      <c r="D42" s="86" t="s">
        <v>46</v>
      </c>
      <c r="E42" s="75">
        <v>1</v>
      </c>
      <c r="F42" s="75">
        <v>2</v>
      </c>
      <c r="G42" s="75">
        <v>3</v>
      </c>
      <c r="H42" s="75">
        <v>4</v>
      </c>
      <c r="I42" s="75">
        <v>5</v>
      </c>
      <c r="J42" s="75">
        <v>6</v>
      </c>
      <c r="K42" s="75">
        <v>7</v>
      </c>
      <c r="L42" s="75">
        <v>8</v>
      </c>
      <c r="M42" s="75">
        <v>9</v>
      </c>
      <c r="N42" s="75">
        <v>10</v>
      </c>
      <c r="O42" s="75">
        <v>11</v>
      </c>
      <c r="P42" s="75">
        <v>12</v>
      </c>
      <c r="Q42" s="75">
        <v>13</v>
      </c>
      <c r="R42" s="75">
        <v>14</v>
      </c>
      <c r="S42" s="75">
        <v>15</v>
      </c>
      <c r="T42" s="77">
        <v>16</v>
      </c>
      <c r="U42" s="2"/>
      <c r="V42" s="2"/>
    </row>
    <row r="43" spans="1:22" x14ac:dyDescent="0.3">
      <c r="A43" s="2"/>
      <c r="B43" s="179"/>
      <c r="C43" s="180"/>
      <c r="D43" s="84" t="s">
        <v>47</v>
      </c>
      <c r="E43" s="76" t="s">
        <v>87</v>
      </c>
      <c r="F43" s="76" t="s">
        <v>87</v>
      </c>
      <c r="G43" s="76" t="s">
        <v>87</v>
      </c>
      <c r="H43" s="76" t="s">
        <v>156</v>
      </c>
      <c r="I43" s="76" t="s">
        <v>87</v>
      </c>
      <c r="J43" s="76" t="s">
        <v>87</v>
      </c>
      <c r="K43" s="76" t="s">
        <v>87</v>
      </c>
      <c r="L43" s="76" t="s">
        <v>87</v>
      </c>
      <c r="M43" s="76" t="s">
        <v>87</v>
      </c>
      <c r="N43" s="76" t="s">
        <v>101</v>
      </c>
      <c r="O43" s="76" t="s">
        <v>157</v>
      </c>
      <c r="P43" s="76" t="s">
        <v>158</v>
      </c>
      <c r="Q43" s="76" t="s">
        <v>100</v>
      </c>
      <c r="R43" s="76" t="s">
        <v>159</v>
      </c>
      <c r="S43" s="76" t="s">
        <v>160</v>
      </c>
      <c r="T43" s="78" t="s">
        <v>161</v>
      </c>
      <c r="U43" s="2"/>
      <c r="V43" s="2"/>
    </row>
    <row r="44" spans="1:22" x14ac:dyDescent="0.3">
      <c r="A44" s="2"/>
      <c r="B44" s="177" t="s">
        <v>54</v>
      </c>
      <c r="C44" s="178"/>
      <c r="D44" s="86" t="s">
        <v>46</v>
      </c>
      <c r="E44" s="75">
        <v>1</v>
      </c>
      <c r="F44" s="75">
        <v>2</v>
      </c>
      <c r="G44" s="75">
        <v>3</v>
      </c>
      <c r="H44" s="75">
        <v>4</v>
      </c>
      <c r="I44" s="75">
        <v>5</v>
      </c>
      <c r="J44" s="75">
        <v>6</v>
      </c>
      <c r="K44" s="75">
        <v>7</v>
      </c>
      <c r="L44" s="75">
        <v>8</v>
      </c>
      <c r="M44" s="75">
        <v>9</v>
      </c>
      <c r="N44" s="75">
        <v>10</v>
      </c>
      <c r="O44" s="75">
        <v>11</v>
      </c>
      <c r="P44" s="75">
        <v>12</v>
      </c>
      <c r="Q44" s="75">
        <v>13</v>
      </c>
      <c r="R44" s="77">
        <v>14</v>
      </c>
      <c r="S44" s="44"/>
      <c r="T44" s="45"/>
      <c r="U44" s="2"/>
      <c r="V44" s="2"/>
    </row>
    <row r="45" spans="1:22" x14ac:dyDescent="0.3">
      <c r="A45" s="2"/>
      <c r="B45" s="179"/>
      <c r="C45" s="180"/>
      <c r="D45" s="84" t="s">
        <v>47</v>
      </c>
      <c r="E45" s="76" t="s">
        <v>162</v>
      </c>
      <c r="F45" s="76" t="s">
        <v>87</v>
      </c>
      <c r="G45" s="76" t="s">
        <v>163</v>
      </c>
      <c r="H45" s="76" t="s">
        <v>164</v>
      </c>
      <c r="I45" s="76" t="s">
        <v>87</v>
      </c>
      <c r="J45" s="76" t="s">
        <v>87</v>
      </c>
      <c r="K45" s="76" t="s">
        <v>165</v>
      </c>
      <c r="L45" s="76" t="s">
        <v>166</v>
      </c>
      <c r="M45" s="76" t="s">
        <v>167</v>
      </c>
      <c r="N45" s="76" t="s">
        <v>168</v>
      </c>
      <c r="O45" s="76" t="s">
        <v>169</v>
      </c>
      <c r="P45" s="76" t="s">
        <v>166</v>
      </c>
      <c r="Q45" s="76" t="s">
        <v>170</v>
      </c>
      <c r="R45" s="78" t="s">
        <v>171</v>
      </c>
      <c r="S45" s="44"/>
      <c r="T45" s="45"/>
      <c r="U45" s="2"/>
      <c r="V45" s="2"/>
    </row>
    <row r="46" spans="1:22" x14ac:dyDescent="0.3">
      <c r="A46" s="2"/>
      <c r="B46" s="177" t="s">
        <v>55</v>
      </c>
      <c r="C46" s="178"/>
      <c r="D46" s="86" t="s">
        <v>46</v>
      </c>
      <c r="E46" s="75">
        <v>1</v>
      </c>
      <c r="F46" s="75">
        <v>2</v>
      </c>
      <c r="G46" s="75">
        <v>3</v>
      </c>
      <c r="H46" s="75">
        <v>4</v>
      </c>
      <c r="I46" s="75">
        <v>5</v>
      </c>
      <c r="J46" s="75">
        <v>6</v>
      </c>
      <c r="K46" s="75">
        <v>7</v>
      </c>
      <c r="L46" s="75">
        <v>8</v>
      </c>
      <c r="M46" s="75">
        <v>9</v>
      </c>
      <c r="N46" s="75">
        <v>10</v>
      </c>
      <c r="O46" s="75">
        <v>11</v>
      </c>
      <c r="P46" s="75">
        <v>12</v>
      </c>
      <c r="Q46" s="75">
        <v>13</v>
      </c>
      <c r="R46" s="77">
        <v>14</v>
      </c>
      <c r="S46" s="44"/>
      <c r="T46" s="45"/>
      <c r="U46" s="2"/>
      <c r="V46" s="2"/>
    </row>
    <row r="47" spans="1:22" x14ac:dyDescent="0.3">
      <c r="A47" s="2"/>
      <c r="B47" s="179"/>
      <c r="C47" s="180"/>
      <c r="D47" s="84" t="s">
        <v>47</v>
      </c>
      <c r="E47" s="76" t="s">
        <v>87</v>
      </c>
      <c r="F47" s="76" t="s">
        <v>87</v>
      </c>
      <c r="G47" s="76" t="s">
        <v>87</v>
      </c>
      <c r="H47" s="76" t="s">
        <v>87</v>
      </c>
      <c r="I47" s="76" t="s">
        <v>172</v>
      </c>
      <c r="J47" s="76" t="s">
        <v>87</v>
      </c>
      <c r="K47" s="76" t="s">
        <v>87</v>
      </c>
      <c r="L47" s="76" t="s">
        <v>87</v>
      </c>
      <c r="M47" s="76" t="s">
        <v>173</v>
      </c>
      <c r="N47" s="76" t="s">
        <v>87</v>
      </c>
      <c r="O47" s="76" t="s">
        <v>174</v>
      </c>
      <c r="P47" s="76" t="s">
        <v>175</v>
      </c>
      <c r="Q47" s="76" t="s">
        <v>176</v>
      </c>
      <c r="R47" s="78" t="s">
        <v>177</v>
      </c>
      <c r="S47" s="44"/>
      <c r="T47" s="45"/>
      <c r="U47" s="2"/>
      <c r="V47" s="2"/>
    </row>
    <row r="48" spans="1:22" x14ac:dyDescent="0.3">
      <c r="A48" s="2"/>
      <c r="B48" s="177" t="s">
        <v>56</v>
      </c>
      <c r="C48" s="178"/>
      <c r="D48" s="86" t="s">
        <v>46</v>
      </c>
      <c r="E48" s="75">
        <v>1</v>
      </c>
      <c r="F48" s="75">
        <v>2</v>
      </c>
      <c r="G48" s="75">
        <v>3</v>
      </c>
      <c r="H48" s="75">
        <v>4</v>
      </c>
      <c r="I48" s="75">
        <v>5</v>
      </c>
      <c r="J48" s="75">
        <v>6</v>
      </c>
      <c r="K48" s="75">
        <v>7</v>
      </c>
      <c r="L48" s="75">
        <v>8</v>
      </c>
      <c r="M48" s="75">
        <v>9</v>
      </c>
      <c r="N48" s="75">
        <v>10</v>
      </c>
      <c r="O48" s="75">
        <v>11</v>
      </c>
      <c r="P48" s="75">
        <v>12</v>
      </c>
      <c r="Q48" s="75">
        <v>13</v>
      </c>
      <c r="R48" s="77">
        <v>14</v>
      </c>
      <c r="S48" s="44"/>
      <c r="T48" s="45"/>
      <c r="U48" s="2"/>
      <c r="V48" s="2"/>
    </row>
    <row r="49" spans="1:22" x14ac:dyDescent="0.3">
      <c r="A49" s="2"/>
      <c r="B49" s="179"/>
      <c r="C49" s="180"/>
      <c r="D49" s="84" t="s">
        <v>47</v>
      </c>
      <c r="E49" s="76" t="s">
        <v>178</v>
      </c>
      <c r="F49" s="76" t="s">
        <v>87</v>
      </c>
      <c r="G49" s="76" t="s">
        <v>87</v>
      </c>
      <c r="H49" s="76" t="s">
        <v>87</v>
      </c>
      <c r="I49" s="76" t="s">
        <v>179</v>
      </c>
      <c r="J49" s="76" t="s">
        <v>180</v>
      </c>
      <c r="K49" s="76" t="s">
        <v>181</v>
      </c>
      <c r="L49" s="76" t="s">
        <v>182</v>
      </c>
      <c r="M49" s="76" t="s">
        <v>174</v>
      </c>
      <c r="N49" s="76" t="s">
        <v>182</v>
      </c>
      <c r="O49" s="76" t="s">
        <v>183</v>
      </c>
      <c r="P49" s="76" t="s">
        <v>184</v>
      </c>
      <c r="Q49" s="76" t="s">
        <v>185</v>
      </c>
      <c r="R49" s="78" t="s">
        <v>186</v>
      </c>
      <c r="S49" s="44"/>
      <c r="T49" s="45"/>
      <c r="U49" s="2"/>
      <c r="V49" s="2"/>
    </row>
    <row r="50" spans="1:22" x14ac:dyDescent="0.3">
      <c r="A50" s="2"/>
      <c r="B50" s="177" t="s">
        <v>57</v>
      </c>
      <c r="C50" s="178"/>
      <c r="D50" s="86" t="s">
        <v>46</v>
      </c>
      <c r="E50" s="75">
        <v>1</v>
      </c>
      <c r="F50" s="75">
        <v>2</v>
      </c>
      <c r="G50" s="75">
        <v>3</v>
      </c>
      <c r="H50" s="75">
        <v>4</v>
      </c>
      <c r="I50" s="75">
        <v>5</v>
      </c>
      <c r="J50" s="75">
        <v>6</v>
      </c>
      <c r="K50" s="75">
        <v>7</v>
      </c>
      <c r="L50" s="75">
        <v>8</v>
      </c>
      <c r="M50" s="75">
        <v>9</v>
      </c>
      <c r="N50" s="75">
        <v>10</v>
      </c>
      <c r="O50" s="75">
        <v>11</v>
      </c>
      <c r="P50" s="75">
        <v>12</v>
      </c>
      <c r="Q50" s="75">
        <v>13</v>
      </c>
      <c r="R50" s="77">
        <v>14</v>
      </c>
      <c r="S50" s="44"/>
      <c r="T50" s="45"/>
      <c r="U50" s="2"/>
      <c r="V50" s="2"/>
    </row>
    <row r="51" spans="1:22" x14ac:dyDescent="0.3">
      <c r="A51" s="2"/>
      <c r="B51" s="179"/>
      <c r="C51" s="180"/>
      <c r="D51" s="85" t="s">
        <v>47</v>
      </c>
      <c r="E51" s="73" t="s">
        <v>87</v>
      </c>
      <c r="F51" s="73" t="s">
        <v>187</v>
      </c>
      <c r="G51" s="73" t="s">
        <v>87</v>
      </c>
      <c r="H51" s="73" t="s">
        <v>87</v>
      </c>
      <c r="I51" s="73" t="s">
        <v>188</v>
      </c>
      <c r="J51" s="73" t="s">
        <v>87</v>
      </c>
      <c r="K51" s="73" t="s">
        <v>87</v>
      </c>
      <c r="L51" s="73" t="s">
        <v>102</v>
      </c>
      <c r="M51" s="73" t="s">
        <v>189</v>
      </c>
      <c r="N51" s="73" t="s">
        <v>190</v>
      </c>
      <c r="O51" s="73" t="s">
        <v>87</v>
      </c>
      <c r="P51" s="73" t="s">
        <v>191</v>
      </c>
      <c r="Q51" s="73" t="s">
        <v>192</v>
      </c>
      <c r="R51" s="74" t="s">
        <v>193</v>
      </c>
      <c r="S51" s="44"/>
      <c r="T51" s="45"/>
      <c r="U51" s="2"/>
      <c r="V51" s="2"/>
    </row>
    <row r="52" spans="1:22" x14ac:dyDescent="0.3">
      <c r="A52" s="2"/>
      <c r="B52" s="177" t="s">
        <v>58</v>
      </c>
      <c r="C52" s="178"/>
      <c r="D52" s="86" t="s">
        <v>46</v>
      </c>
      <c r="E52" s="75">
        <v>1</v>
      </c>
      <c r="F52" s="75">
        <v>2</v>
      </c>
      <c r="G52" s="75">
        <v>3</v>
      </c>
      <c r="H52" s="75">
        <v>4</v>
      </c>
      <c r="I52" s="75">
        <v>5</v>
      </c>
      <c r="J52" s="75">
        <v>6</v>
      </c>
      <c r="K52" s="75">
        <v>7</v>
      </c>
      <c r="L52" s="75">
        <v>8</v>
      </c>
      <c r="M52" s="75">
        <v>9</v>
      </c>
      <c r="N52" s="75">
        <v>10</v>
      </c>
      <c r="O52" s="75">
        <v>11</v>
      </c>
      <c r="P52" s="75">
        <v>12</v>
      </c>
      <c r="Q52" s="75">
        <v>13</v>
      </c>
      <c r="R52" s="75">
        <v>14</v>
      </c>
      <c r="S52" s="77">
        <v>15</v>
      </c>
      <c r="T52" s="45"/>
      <c r="U52" s="2"/>
      <c r="V52" s="2"/>
    </row>
    <row r="53" spans="1:22" x14ac:dyDescent="0.3">
      <c r="A53" s="2"/>
      <c r="B53" s="179"/>
      <c r="C53" s="180"/>
      <c r="D53" s="84" t="s">
        <v>47</v>
      </c>
      <c r="E53" s="76" t="s">
        <v>87</v>
      </c>
      <c r="F53" s="76" t="s">
        <v>87</v>
      </c>
      <c r="G53" s="76" t="s">
        <v>194</v>
      </c>
      <c r="H53" s="76" t="s">
        <v>87</v>
      </c>
      <c r="I53" s="76" t="s">
        <v>87</v>
      </c>
      <c r="J53" s="76" t="s">
        <v>195</v>
      </c>
      <c r="K53" s="76" t="s">
        <v>87</v>
      </c>
      <c r="L53" s="76" t="s">
        <v>196</v>
      </c>
      <c r="M53" s="76" t="s">
        <v>87</v>
      </c>
      <c r="N53" s="76" t="s">
        <v>87</v>
      </c>
      <c r="O53" s="76" t="s">
        <v>197</v>
      </c>
      <c r="P53" s="76" t="s">
        <v>198</v>
      </c>
      <c r="Q53" s="76" t="s">
        <v>199</v>
      </c>
      <c r="R53" s="76" t="s">
        <v>200</v>
      </c>
      <c r="S53" s="78" t="s">
        <v>201</v>
      </c>
      <c r="T53" s="45"/>
      <c r="U53" s="2"/>
      <c r="V53" s="2"/>
    </row>
    <row r="54" spans="1:22" x14ac:dyDescent="0.3">
      <c r="A54" s="2"/>
      <c r="B54" s="177" t="s">
        <v>59</v>
      </c>
      <c r="C54" s="178"/>
      <c r="D54" s="86" t="s">
        <v>46</v>
      </c>
      <c r="E54" s="75">
        <v>1</v>
      </c>
      <c r="F54" s="75">
        <v>2</v>
      </c>
      <c r="G54" s="75">
        <v>3</v>
      </c>
      <c r="H54" s="75">
        <v>4</v>
      </c>
      <c r="I54" s="75">
        <v>5</v>
      </c>
      <c r="J54" s="75">
        <v>6</v>
      </c>
      <c r="K54" s="75">
        <v>7</v>
      </c>
      <c r="L54" s="75">
        <v>8</v>
      </c>
      <c r="M54" s="75">
        <v>9</v>
      </c>
      <c r="N54" s="75">
        <v>10</v>
      </c>
      <c r="O54" s="75">
        <v>11</v>
      </c>
      <c r="P54" s="75">
        <v>12</v>
      </c>
      <c r="Q54" s="75">
        <v>13</v>
      </c>
      <c r="R54" s="77">
        <v>14</v>
      </c>
      <c r="S54" s="44"/>
      <c r="T54" s="45"/>
      <c r="U54" s="2"/>
      <c r="V54" s="2"/>
    </row>
    <row r="55" spans="1:22" x14ac:dyDescent="0.3">
      <c r="A55" s="2"/>
      <c r="B55" s="179"/>
      <c r="C55" s="180"/>
      <c r="D55" s="84" t="s">
        <v>47</v>
      </c>
      <c r="E55" s="76" t="s">
        <v>196</v>
      </c>
      <c r="F55" s="76" t="s">
        <v>87</v>
      </c>
      <c r="G55" s="76" t="s">
        <v>202</v>
      </c>
      <c r="H55" s="76" t="s">
        <v>87</v>
      </c>
      <c r="I55" s="76" t="s">
        <v>203</v>
      </c>
      <c r="J55" s="76" t="s">
        <v>87</v>
      </c>
      <c r="K55" s="76" t="s">
        <v>87</v>
      </c>
      <c r="L55" s="76" t="s">
        <v>87</v>
      </c>
      <c r="M55" s="76" t="s">
        <v>87</v>
      </c>
      <c r="N55" s="76" t="s">
        <v>204</v>
      </c>
      <c r="O55" s="76" t="s">
        <v>141</v>
      </c>
      <c r="P55" s="76" t="s">
        <v>141</v>
      </c>
      <c r="Q55" s="76" t="s">
        <v>205</v>
      </c>
      <c r="R55" s="78" t="s">
        <v>206</v>
      </c>
      <c r="S55" s="44"/>
      <c r="T55" s="45"/>
      <c r="U55" s="2"/>
      <c r="V55" s="2"/>
    </row>
    <row r="56" spans="1:22" x14ac:dyDescent="0.3">
      <c r="A56" s="2"/>
      <c r="B56" s="177" t="s">
        <v>60</v>
      </c>
      <c r="C56" s="178"/>
      <c r="D56" s="86" t="s">
        <v>46</v>
      </c>
      <c r="E56" s="75">
        <v>1</v>
      </c>
      <c r="F56" s="75">
        <v>2</v>
      </c>
      <c r="G56" s="75">
        <v>3</v>
      </c>
      <c r="H56" s="75">
        <v>4</v>
      </c>
      <c r="I56" s="75">
        <v>5</v>
      </c>
      <c r="J56" s="75">
        <v>6</v>
      </c>
      <c r="K56" s="75">
        <v>7</v>
      </c>
      <c r="L56" s="75">
        <v>8</v>
      </c>
      <c r="M56" s="75">
        <v>9</v>
      </c>
      <c r="N56" s="75">
        <v>10</v>
      </c>
      <c r="O56" s="75">
        <v>11</v>
      </c>
      <c r="P56" s="75">
        <v>12</v>
      </c>
      <c r="Q56" s="75">
        <v>13</v>
      </c>
      <c r="R56" s="77">
        <v>14</v>
      </c>
      <c r="S56" s="44"/>
      <c r="T56" s="45"/>
      <c r="U56" s="2"/>
      <c r="V56" s="2"/>
    </row>
    <row r="57" spans="1:22" x14ac:dyDescent="0.3">
      <c r="A57" s="2"/>
      <c r="B57" s="179"/>
      <c r="C57" s="180"/>
      <c r="D57" s="84" t="s">
        <v>47</v>
      </c>
      <c r="E57" s="76" t="s">
        <v>87</v>
      </c>
      <c r="F57" s="76" t="s">
        <v>87</v>
      </c>
      <c r="G57" s="76" t="s">
        <v>207</v>
      </c>
      <c r="H57" s="76" t="s">
        <v>87</v>
      </c>
      <c r="I57" s="76" t="s">
        <v>87</v>
      </c>
      <c r="J57" s="76" t="s">
        <v>208</v>
      </c>
      <c r="K57" s="76" t="s">
        <v>209</v>
      </c>
      <c r="L57" s="76" t="s">
        <v>210</v>
      </c>
      <c r="M57" s="76" t="s">
        <v>211</v>
      </c>
      <c r="N57" s="76" t="s">
        <v>87</v>
      </c>
      <c r="O57" s="76" t="s">
        <v>212</v>
      </c>
      <c r="P57" s="76" t="s">
        <v>213</v>
      </c>
      <c r="Q57" s="76" t="s">
        <v>214</v>
      </c>
      <c r="R57" s="78" t="s">
        <v>215</v>
      </c>
      <c r="S57" s="44"/>
      <c r="T57" s="45"/>
      <c r="U57" s="2"/>
      <c r="V57" s="2"/>
    </row>
    <row r="58" spans="1:22" x14ac:dyDescent="0.3">
      <c r="A58" s="2"/>
      <c r="B58" s="177" t="s">
        <v>61</v>
      </c>
      <c r="C58" s="178"/>
      <c r="D58" s="86" t="s">
        <v>46</v>
      </c>
      <c r="E58" s="75">
        <v>1</v>
      </c>
      <c r="F58" s="75">
        <v>2</v>
      </c>
      <c r="G58" s="75">
        <v>3</v>
      </c>
      <c r="H58" s="75">
        <v>4</v>
      </c>
      <c r="I58" s="75">
        <v>5</v>
      </c>
      <c r="J58" s="75">
        <v>6</v>
      </c>
      <c r="K58" s="75">
        <v>7</v>
      </c>
      <c r="L58" s="75">
        <v>8</v>
      </c>
      <c r="M58" s="75">
        <v>9</v>
      </c>
      <c r="N58" s="75">
        <v>10</v>
      </c>
      <c r="O58" s="75">
        <v>11</v>
      </c>
      <c r="P58" s="75">
        <v>12</v>
      </c>
      <c r="Q58" s="75">
        <v>13</v>
      </c>
      <c r="R58" s="77">
        <v>14</v>
      </c>
      <c r="S58" s="44"/>
      <c r="T58" s="45"/>
      <c r="U58" s="2"/>
      <c r="V58" s="2"/>
    </row>
    <row r="59" spans="1:22" x14ac:dyDescent="0.3">
      <c r="A59" s="2"/>
      <c r="B59" s="179"/>
      <c r="C59" s="180"/>
      <c r="D59" s="84" t="s">
        <v>47</v>
      </c>
      <c r="E59" s="76" t="s">
        <v>153</v>
      </c>
      <c r="F59" s="76" t="s">
        <v>87</v>
      </c>
      <c r="G59" s="76" t="s">
        <v>216</v>
      </c>
      <c r="H59" s="76" t="s">
        <v>87</v>
      </c>
      <c r="I59" s="76" t="s">
        <v>87</v>
      </c>
      <c r="J59" s="76" t="s">
        <v>87</v>
      </c>
      <c r="K59" s="76" t="s">
        <v>87</v>
      </c>
      <c r="L59" s="76" t="s">
        <v>87</v>
      </c>
      <c r="M59" s="76" t="s">
        <v>168</v>
      </c>
      <c r="N59" s="76" t="s">
        <v>217</v>
      </c>
      <c r="O59" s="76" t="s">
        <v>218</v>
      </c>
      <c r="P59" s="76" t="s">
        <v>219</v>
      </c>
      <c r="Q59" s="76" t="s">
        <v>213</v>
      </c>
      <c r="R59" s="78" t="s">
        <v>220</v>
      </c>
      <c r="S59" s="44"/>
      <c r="T59" s="45"/>
      <c r="U59" s="2"/>
      <c r="V59" s="2"/>
    </row>
    <row r="60" spans="1:22" x14ac:dyDescent="0.3">
      <c r="A60" s="2"/>
      <c r="B60" s="177" t="s">
        <v>62</v>
      </c>
      <c r="C60" s="178"/>
      <c r="D60" s="86" t="s">
        <v>46</v>
      </c>
      <c r="E60" s="75">
        <v>1</v>
      </c>
      <c r="F60" s="75">
        <v>2</v>
      </c>
      <c r="G60" s="75">
        <v>3</v>
      </c>
      <c r="H60" s="75">
        <v>4</v>
      </c>
      <c r="I60" s="75">
        <v>5</v>
      </c>
      <c r="J60" s="75">
        <v>6</v>
      </c>
      <c r="K60" s="75">
        <v>7</v>
      </c>
      <c r="L60" s="75">
        <v>8</v>
      </c>
      <c r="M60" s="75">
        <v>9</v>
      </c>
      <c r="N60" s="75">
        <v>10</v>
      </c>
      <c r="O60" s="75">
        <v>11</v>
      </c>
      <c r="P60" s="75">
        <v>12</v>
      </c>
      <c r="Q60" s="77">
        <v>13</v>
      </c>
      <c r="R60" s="44"/>
      <c r="S60" s="44"/>
      <c r="T60" s="45"/>
      <c r="U60" s="2"/>
      <c r="V60" s="2"/>
    </row>
    <row r="61" spans="1:22" x14ac:dyDescent="0.3">
      <c r="A61" s="2"/>
      <c r="B61" s="179"/>
      <c r="C61" s="180"/>
      <c r="D61" s="85" t="s">
        <v>47</v>
      </c>
      <c r="E61" s="73" t="s">
        <v>87</v>
      </c>
      <c r="F61" s="73" t="s">
        <v>221</v>
      </c>
      <c r="G61" s="73" t="s">
        <v>87</v>
      </c>
      <c r="H61" s="73" t="s">
        <v>87</v>
      </c>
      <c r="I61" s="73" t="s">
        <v>87</v>
      </c>
      <c r="J61" s="73" t="s">
        <v>222</v>
      </c>
      <c r="K61" s="73" t="s">
        <v>131</v>
      </c>
      <c r="L61" s="73" t="s">
        <v>223</v>
      </c>
      <c r="M61" s="73" t="s">
        <v>224</v>
      </c>
      <c r="N61" s="73" t="s">
        <v>87</v>
      </c>
      <c r="O61" s="73" t="s">
        <v>225</v>
      </c>
      <c r="P61" s="73" t="s">
        <v>223</v>
      </c>
      <c r="Q61" s="74" t="s">
        <v>226</v>
      </c>
      <c r="R61" s="44"/>
      <c r="S61" s="44"/>
      <c r="T61" s="45"/>
      <c r="U61" s="2"/>
      <c r="V61" s="2"/>
    </row>
    <row r="62" spans="1:22" x14ac:dyDescent="0.3">
      <c r="A62" s="2"/>
      <c r="B62" s="177" t="s">
        <v>63</v>
      </c>
      <c r="C62" s="178"/>
      <c r="D62" s="86" t="s">
        <v>46</v>
      </c>
      <c r="E62" s="75">
        <v>1</v>
      </c>
      <c r="F62" s="75">
        <v>2</v>
      </c>
      <c r="G62" s="75">
        <v>3</v>
      </c>
      <c r="H62" s="75">
        <v>4</v>
      </c>
      <c r="I62" s="75">
        <v>5</v>
      </c>
      <c r="J62" s="75">
        <v>6</v>
      </c>
      <c r="K62" s="75">
        <v>7</v>
      </c>
      <c r="L62" s="75">
        <v>8</v>
      </c>
      <c r="M62" s="75">
        <v>9</v>
      </c>
      <c r="N62" s="75">
        <v>10</v>
      </c>
      <c r="O62" s="75">
        <v>11</v>
      </c>
      <c r="P62" s="75">
        <v>12</v>
      </c>
      <c r="Q62" s="75">
        <v>13</v>
      </c>
      <c r="R62" s="77">
        <v>14</v>
      </c>
      <c r="S62" s="44"/>
      <c r="T62" s="45"/>
      <c r="U62" s="2"/>
      <c r="V62" s="2"/>
    </row>
    <row r="63" spans="1:22" x14ac:dyDescent="0.3">
      <c r="A63" s="2"/>
      <c r="B63" s="179"/>
      <c r="C63" s="180"/>
      <c r="D63" s="85" t="s">
        <v>47</v>
      </c>
      <c r="E63" s="73" t="s">
        <v>227</v>
      </c>
      <c r="F63" s="73" t="s">
        <v>87</v>
      </c>
      <c r="G63" s="73" t="s">
        <v>87</v>
      </c>
      <c r="H63" s="73" t="s">
        <v>228</v>
      </c>
      <c r="I63" s="73" t="s">
        <v>229</v>
      </c>
      <c r="J63" s="73" t="s">
        <v>87</v>
      </c>
      <c r="K63" s="73" t="s">
        <v>230</v>
      </c>
      <c r="L63" s="73" t="s">
        <v>87</v>
      </c>
      <c r="M63" s="73" t="s">
        <v>231</v>
      </c>
      <c r="N63" s="73" t="s">
        <v>232</v>
      </c>
      <c r="O63" s="73" t="s">
        <v>231</v>
      </c>
      <c r="P63" s="73" t="s">
        <v>233</v>
      </c>
      <c r="Q63" s="73" t="s">
        <v>234</v>
      </c>
      <c r="R63" s="74" t="s">
        <v>235</v>
      </c>
      <c r="S63" s="44"/>
      <c r="T63" s="45"/>
      <c r="U63" s="2"/>
      <c r="V63" s="2"/>
    </row>
    <row r="64" spans="1:22" x14ac:dyDescent="0.3">
      <c r="A64" s="2"/>
      <c r="B64" s="177" t="s">
        <v>64</v>
      </c>
      <c r="C64" s="178"/>
      <c r="D64" s="86" t="s">
        <v>46</v>
      </c>
      <c r="E64" s="75">
        <v>1</v>
      </c>
      <c r="F64" s="75">
        <v>2</v>
      </c>
      <c r="G64" s="75">
        <v>3</v>
      </c>
      <c r="H64" s="75">
        <v>4</v>
      </c>
      <c r="I64" s="75">
        <v>5</v>
      </c>
      <c r="J64" s="75">
        <v>6</v>
      </c>
      <c r="K64" s="75">
        <v>7</v>
      </c>
      <c r="L64" s="75">
        <v>8</v>
      </c>
      <c r="M64" s="75">
        <v>9</v>
      </c>
      <c r="N64" s="75">
        <v>10</v>
      </c>
      <c r="O64" s="75">
        <v>11</v>
      </c>
      <c r="P64" s="75">
        <v>12</v>
      </c>
      <c r="Q64" s="75">
        <v>13</v>
      </c>
      <c r="R64" s="75">
        <v>14</v>
      </c>
      <c r="S64" s="77">
        <v>15</v>
      </c>
      <c r="T64" s="45"/>
      <c r="U64" s="2"/>
      <c r="V64" s="2"/>
    </row>
    <row r="65" spans="1:22" x14ac:dyDescent="0.3">
      <c r="A65" s="2"/>
      <c r="B65" s="179"/>
      <c r="C65" s="180"/>
      <c r="D65" s="84" t="s">
        <v>47</v>
      </c>
      <c r="E65" s="76" t="s">
        <v>236</v>
      </c>
      <c r="F65" s="76" t="s">
        <v>237</v>
      </c>
      <c r="G65" s="76" t="s">
        <v>238</v>
      </c>
      <c r="H65" s="76" t="s">
        <v>87</v>
      </c>
      <c r="I65" s="76" t="s">
        <v>239</v>
      </c>
      <c r="J65" s="76" t="s">
        <v>87</v>
      </c>
      <c r="K65" s="76" t="s">
        <v>240</v>
      </c>
      <c r="L65" s="76" t="s">
        <v>213</v>
      </c>
      <c r="M65" s="76" t="s">
        <v>110</v>
      </c>
      <c r="N65" s="76" t="s">
        <v>241</v>
      </c>
      <c r="O65" s="76" t="s">
        <v>87</v>
      </c>
      <c r="P65" s="76" t="s">
        <v>120</v>
      </c>
      <c r="Q65" s="76" t="s">
        <v>242</v>
      </c>
      <c r="R65" s="76" t="s">
        <v>243</v>
      </c>
      <c r="S65" s="78" t="s">
        <v>244</v>
      </c>
      <c r="T65" s="45"/>
      <c r="U65" s="2"/>
      <c r="V65" s="2"/>
    </row>
    <row r="66" spans="1:22" x14ac:dyDescent="0.3">
      <c r="A66" s="2"/>
      <c r="B66" s="177" t="s">
        <v>53</v>
      </c>
      <c r="C66" s="178"/>
      <c r="D66" s="86" t="s">
        <v>46</v>
      </c>
      <c r="E66" s="75">
        <v>1</v>
      </c>
      <c r="F66" s="75">
        <v>2</v>
      </c>
      <c r="G66" s="75">
        <v>3</v>
      </c>
      <c r="H66" s="75">
        <v>4</v>
      </c>
      <c r="I66" s="75">
        <v>5</v>
      </c>
      <c r="J66" s="75">
        <v>6</v>
      </c>
      <c r="K66" s="75">
        <v>7</v>
      </c>
      <c r="L66" s="75">
        <v>8</v>
      </c>
      <c r="M66" s="75">
        <v>9</v>
      </c>
      <c r="N66" s="75">
        <v>10</v>
      </c>
      <c r="O66" s="75">
        <v>11</v>
      </c>
      <c r="P66" s="75">
        <v>12</v>
      </c>
      <c r="Q66" s="75">
        <v>13</v>
      </c>
      <c r="R66" s="77">
        <v>14</v>
      </c>
      <c r="S66" s="44"/>
      <c r="T66" s="45"/>
      <c r="U66" s="2"/>
      <c r="V66" s="2"/>
    </row>
    <row r="67" spans="1:22" x14ac:dyDescent="0.3">
      <c r="A67" s="2"/>
      <c r="B67" s="179"/>
      <c r="C67" s="180"/>
      <c r="D67" s="85" t="s">
        <v>47</v>
      </c>
      <c r="E67" s="73" t="s">
        <v>87</v>
      </c>
      <c r="F67" s="73" t="s">
        <v>87</v>
      </c>
      <c r="G67" s="73" t="s">
        <v>245</v>
      </c>
      <c r="H67" s="73" t="s">
        <v>87</v>
      </c>
      <c r="I67" s="73" t="s">
        <v>87</v>
      </c>
      <c r="J67" s="73" t="s">
        <v>246</v>
      </c>
      <c r="K67" s="73" t="s">
        <v>246</v>
      </c>
      <c r="L67" s="73" t="s">
        <v>247</v>
      </c>
      <c r="M67" s="73" t="s">
        <v>191</v>
      </c>
      <c r="N67" s="73" t="s">
        <v>248</v>
      </c>
      <c r="O67" s="73" t="s">
        <v>249</v>
      </c>
      <c r="P67" s="73" t="s">
        <v>250</v>
      </c>
      <c r="Q67" s="73" t="s">
        <v>151</v>
      </c>
      <c r="R67" s="74" t="s">
        <v>251</v>
      </c>
      <c r="S67" s="44"/>
      <c r="T67" s="45"/>
      <c r="U67" s="2"/>
      <c r="V67" s="2"/>
    </row>
    <row r="68" spans="1:22" x14ac:dyDescent="0.3">
      <c r="A68" s="2"/>
      <c r="B68" s="177" t="s">
        <v>65</v>
      </c>
      <c r="C68" s="178"/>
      <c r="D68" s="86" t="s">
        <v>46</v>
      </c>
      <c r="E68" s="75">
        <v>1</v>
      </c>
      <c r="F68" s="75">
        <v>2</v>
      </c>
      <c r="G68" s="75">
        <v>3</v>
      </c>
      <c r="H68" s="75">
        <v>4</v>
      </c>
      <c r="I68" s="75">
        <v>5</v>
      </c>
      <c r="J68" s="75">
        <v>6</v>
      </c>
      <c r="K68" s="75">
        <v>7</v>
      </c>
      <c r="L68" s="75">
        <v>8</v>
      </c>
      <c r="M68" s="75">
        <v>9</v>
      </c>
      <c r="N68" s="75">
        <v>10</v>
      </c>
      <c r="O68" s="75">
        <v>11</v>
      </c>
      <c r="P68" s="75">
        <v>12</v>
      </c>
      <c r="Q68" s="75">
        <v>13</v>
      </c>
      <c r="R68" s="75">
        <v>14</v>
      </c>
      <c r="S68" s="77">
        <v>15</v>
      </c>
      <c r="T68" s="45"/>
      <c r="U68" s="2"/>
      <c r="V68" s="2"/>
    </row>
    <row r="69" spans="1:22" x14ac:dyDescent="0.3">
      <c r="A69" s="2"/>
      <c r="B69" s="179"/>
      <c r="C69" s="180"/>
      <c r="D69" s="84" t="s">
        <v>47</v>
      </c>
      <c r="E69" s="76" t="s">
        <v>87</v>
      </c>
      <c r="F69" s="76" t="s">
        <v>252</v>
      </c>
      <c r="G69" s="76" t="s">
        <v>87</v>
      </c>
      <c r="H69" s="76" t="s">
        <v>87</v>
      </c>
      <c r="I69" s="76" t="s">
        <v>87</v>
      </c>
      <c r="J69" s="76" t="s">
        <v>253</v>
      </c>
      <c r="K69" s="76" t="s">
        <v>254</v>
      </c>
      <c r="L69" s="76" t="s">
        <v>255</v>
      </c>
      <c r="M69" s="76" t="s">
        <v>254</v>
      </c>
      <c r="N69" s="76" t="s">
        <v>252</v>
      </c>
      <c r="O69" s="76" t="s">
        <v>87</v>
      </c>
      <c r="P69" s="76" t="s">
        <v>87</v>
      </c>
      <c r="Q69" s="76" t="s">
        <v>256</v>
      </c>
      <c r="R69" s="76" t="s">
        <v>257</v>
      </c>
      <c r="S69" s="78" t="s">
        <v>258</v>
      </c>
      <c r="T69" s="45"/>
      <c r="U69" s="2"/>
      <c r="V69" s="2"/>
    </row>
    <row r="70" spans="1:22" x14ac:dyDescent="0.3">
      <c r="A70" s="2"/>
      <c r="B70" s="177" t="s">
        <v>66</v>
      </c>
      <c r="C70" s="178"/>
      <c r="D70" s="86" t="s">
        <v>46</v>
      </c>
      <c r="E70" s="75">
        <v>1</v>
      </c>
      <c r="F70" s="75">
        <v>2</v>
      </c>
      <c r="G70" s="75">
        <v>3</v>
      </c>
      <c r="H70" s="75">
        <v>4</v>
      </c>
      <c r="I70" s="75">
        <v>5</v>
      </c>
      <c r="J70" s="75">
        <v>6</v>
      </c>
      <c r="K70" s="75">
        <v>7</v>
      </c>
      <c r="L70" s="75">
        <v>8</v>
      </c>
      <c r="M70" s="75">
        <v>9</v>
      </c>
      <c r="N70" s="75">
        <v>10</v>
      </c>
      <c r="O70" s="75">
        <v>11</v>
      </c>
      <c r="P70" s="75">
        <v>12</v>
      </c>
      <c r="Q70" s="75">
        <v>13</v>
      </c>
      <c r="R70" s="77">
        <v>14</v>
      </c>
      <c r="S70" s="44"/>
      <c r="T70" s="45"/>
      <c r="U70" s="2"/>
      <c r="V70" s="2"/>
    </row>
    <row r="71" spans="1:22" x14ac:dyDescent="0.3">
      <c r="A71" s="2"/>
      <c r="B71" s="179"/>
      <c r="C71" s="180"/>
      <c r="D71" s="85" t="s">
        <v>47</v>
      </c>
      <c r="E71" s="73" t="s">
        <v>259</v>
      </c>
      <c r="F71" s="73" t="s">
        <v>260</v>
      </c>
      <c r="G71" s="73" t="s">
        <v>87</v>
      </c>
      <c r="H71" s="73" t="s">
        <v>261</v>
      </c>
      <c r="I71" s="73" t="s">
        <v>87</v>
      </c>
      <c r="J71" s="73" t="s">
        <v>87</v>
      </c>
      <c r="K71" s="73" t="s">
        <v>87</v>
      </c>
      <c r="L71" s="73" t="s">
        <v>260</v>
      </c>
      <c r="M71" s="73" t="s">
        <v>262</v>
      </c>
      <c r="N71" s="73" t="s">
        <v>170</v>
      </c>
      <c r="O71" s="73" t="s">
        <v>263</v>
      </c>
      <c r="P71" s="73" t="s">
        <v>264</v>
      </c>
      <c r="Q71" s="73" t="s">
        <v>265</v>
      </c>
      <c r="R71" s="74" t="s">
        <v>266</v>
      </c>
      <c r="S71" s="44"/>
      <c r="T71" s="45"/>
      <c r="U71" s="2"/>
      <c r="V71" s="2"/>
    </row>
    <row r="72" spans="1:22" x14ac:dyDescent="0.3">
      <c r="A72" s="2"/>
      <c r="B72" s="177" t="s">
        <v>67</v>
      </c>
      <c r="C72" s="178"/>
      <c r="D72" s="86" t="s">
        <v>46</v>
      </c>
      <c r="E72" s="75">
        <v>1</v>
      </c>
      <c r="F72" s="75">
        <v>2</v>
      </c>
      <c r="G72" s="75">
        <v>3</v>
      </c>
      <c r="H72" s="75">
        <v>4</v>
      </c>
      <c r="I72" s="75">
        <v>5</v>
      </c>
      <c r="J72" s="75">
        <v>6</v>
      </c>
      <c r="K72" s="75">
        <v>7</v>
      </c>
      <c r="L72" s="75">
        <v>8</v>
      </c>
      <c r="M72" s="75">
        <v>9</v>
      </c>
      <c r="N72" s="75">
        <v>10</v>
      </c>
      <c r="O72" s="75">
        <v>11</v>
      </c>
      <c r="P72" s="75">
        <v>12</v>
      </c>
      <c r="Q72" s="75">
        <v>13</v>
      </c>
      <c r="R72" s="75">
        <v>14</v>
      </c>
      <c r="S72" s="77">
        <v>15</v>
      </c>
      <c r="T72" s="45"/>
      <c r="U72" s="2"/>
      <c r="V72" s="2"/>
    </row>
    <row r="73" spans="1:22" x14ac:dyDescent="0.3">
      <c r="A73" s="2"/>
      <c r="B73" s="179"/>
      <c r="C73" s="180"/>
      <c r="D73" s="84" t="s">
        <v>47</v>
      </c>
      <c r="E73" s="76" t="s">
        <v>87</v>
      </c>
      <c r="F73" s="76" t="s">
        <v>86</v>
      </c>
      <c r="G73" s="76" t="s">
        <v>87</v>
      </c>
      <c r="H73" s="76" t="s">
        <v>86</v>
      </c>
      <c r="I73" s="76" t="s">
        <v>87</v>
      </c>
      <c r="J73" s="76" t="s">
        <v>267</v>
      </c>
      <c r="K73" s="76" t="s">
        <v>87</v>
      </c>
      <c r="L73" s="76" t="s">
        <v>268</v>
      </c>
      <c r="M73" s="76" t="s">
        <v>269</v>
      </c>
      <c r="N73" s="76" t="s">
        <v>270</v>
      </c>
      <c r="O73" s="76" t="s">
        <v>87</v>
      </c>
      <c r="P73" s="76" t="s">
        <v>271</v>
      </c>
      <c r="Q73" s="76" t="s">
        <v>267</v>
      </c>
      <c r="R73" s="76" t="s">
        <v>111</v>
      </c>
      <c r="S73" s="78" t="s">
        <v>272</v>
      </c>
      <c r="T73" s="43"/>
      <c r="U73" s="2"/>
      <c r="V73" s="2"/>
    </row>
    <row r="74" spans="1:22" x14ac:dyDescent="0.3">
      <c r="A74" s="2"/>
      <c r="B74" s="177" t="s">
        <v>816</v>
      </c>
      <c r="C74" s="178"/>
      <c r="D74" s="86" t="s">
        <v>46</v>
      </c>
      <c r="E74" s="75">
        <v>1</v>
      </c>
      <c r="F74" s="75">
        <v>2</v>
      </c>
      <c r="G74" s="75">
        <v>3</v>
      </c>
      <c r="H74" s="75">
        <v>4</v>
      </c>
      <c r="I74" s="75">
        <v>5</v>
      </c>
      <c r="J74" s="75">
        <v>6</v>
      </c>
      <c r="K74" s="75">
        <v>7</v>
      </c>
      <c r="L74" s="75">
        <v>8</v>
      </c>
      <c r="M74" s="75">
        <v>9</v>
      </c>
      <c r="N74" s="75">
        <v>10</v>
      </c>
      <c r="O74" s="75">
        <v>11</v>
      </c>
      <c r="P74" s="75">
        <v>12</v>
      </c>
      <c r="Q74" s="75">
        <v>13</v>
      </c>
      <c r="R74" s="77">
        <v>14</v>
      </c>
      <c r="S74" s="44"/>
      <c r="T74" s="45"/>
      <c r="U74" s="2"/>
      <c r="V74" s="2"/>
    </row>
    <row r="75" spans="1:22" x14ac:dyDescent="0.3">
      <c r="A75" s="2"/>
      <c r="B75" s="179"/>
      <c r="C75" s="180"/>
      <c r="D75" s="84" t="s">
        <v>47</v>
      </c>
      <c r="E75" s="76" t="s">
        <v>87</v>
      </c>
      <c r="F75" s="76" t="s">
        <v>273</v>
      </c>
      <c r="G75" s="76" t="s">
        <v>87</v>
      </c>
      <c r="H75" s="76" t="s">
        <v>87</v>
      </c>
      <c r="I75" s="76" t="s">
        <v>87</v>
      </c>
      <c r="J75" s="76" t="s">
        <v>87</v>
      </c>
      <c r="K75" s="76" t="s">
        <v>274</v>
      </c>
      <c r="L75" s="76" t="s">
        <v>275</v>
      </c>
      <c r="M75" s="76" t="s">
        <v>276</v>
      </c>
      <c r="N75" s="76" t="s">
        <v>277</v>
      </c>
      <c r="O75" s="76" t="s">
        <v>278</v>
      </c>
      <c r="P75" s="76" t="s">
        <v>158</v>
      </c>
      <c r="Q75" s="76" t="s">
        <v>277</v>
      </c>
      <c r="R75" s="78" t="s">
        <v>279</v>
      </c>
      <c r="S75" s="42"/>
      <c r="T75" s="43"/>
      <c r="U75" s="2"/>
      <c r="V75" s="2"/>
    </row>
    <row r="76" spans="1:22" x14ac:dyDescent="0.3">
      <c r="A76" s="2"/>
      <c r="B76" s="177" t="s">
        <v>68</v>
      </c>
      <c r="C76" s="178"/>
      <c r="D76" s="86" t="s">
        <v>46</v>
      </c>
      <c r="E76" s="75">
        <v>1</v>
      </c>
      <c r="F76" s="75">
        <v>2</v>
      </c>
      <c r="G76" s="75">
        <v>3</v>
      </c>
      <c r="H76" s="75">
        <v>4</v>
      </c>
      <c r="I76" s="75">
        <v>5</v>
      </c>
      <c r="J76" s="75">
        <v>6</v>
      </c>
      <c r="K76" s="75">
        <v>7</v>
      </c>
      <c r="L76" s="75">
        <v>8</v>
      </c>
      <c r="M76" s="75">
        <v>9</v>
      </c>
      <c r="N76" s="75">
        <v>10</v>
      </c>
      <c r="O76" s="75">
        <v>11</v>
      </c>
      <c r="P76" s="75">
        <v>12</v>
      </c>
      <c r="Q76" s="75">
        <v>13</v>
      </c>
      <c r="R76" s="77">
        <v>14</v>
      </c>
      <c r="S76" s="44"/>
      <c r="T76" s="45"/>
      <c r="U76" s="2"/>
      <c r="V76" s="2"/>
    </row>
    <row r="77" spans="1:22" x14ac:dyDescent="0.3">
      <c r="A77" s="2"/>
      <c r="B77" s="179"/>
      <c r="C77" s="180"/>
      <c r="D77" s="84" t="s">
        <v>47</v>
      </c>
      <c r="E77" s="76" t="s">
        <v>280</v>
      </c>
      <c r="F77" s="76" t="s">
        <v>281</v>
      </c>
      <c r="G77" s="76" t="s">
        <v>282</v>
      </c>
      <c r="H77" s="76" t="s">
        <v>246</v>
      </c>
      <c r="I77" s="76" t="s">
        <v>283</v>
      </c>
      <c r="J77" s="76" t="s">
        <v>87</v>
      </c>
      <c r="K77" s="76" t="s">
        <v>199</v>
      </c>
      <c r="L77" s="76" t="s">
        <v>284</v>
      </c>
      <c r="M77" s="76" t="s">
        <v>285</v>
      </c>
      <c r="N77" s="76" t="s">
        <v>286</v>
      </c>
      <c r="O77" s="76" t="s">
        <v>199</v>
      </c>
      <c r="P77" s="76" t="s">
        <v>287</v>
      </c>
      <c r="Q77" s="76" t="s">
        <v>286</v>
      </c>
      <c r="R77" s="78" t="s">
        <v>288</v>
      </c>
      <c r="S77" s="42"/>
      <c r="T77" s="43"/>
      <c r="U77" s="2"/>
      <c r="V77" s="2"/>
    </row>
    <row r="78" spans="1:22" x14ac:dyDescent="0.3">
      <c r="A78" s="2"/>
      <c r="B78" s="177" t="s">
        <v>69</v>
      </c>
      <c r="C78" s="178"/>
      <c r="D78" s="86" t="s">
        <v>46</v>
      </c>
      <c r="E78" s="75">
        <v>1</v>
      </c>
      <c r="F78" s="75">
        <v>2</v>
      </c>
      <c r="G78" s="75">
        <v>3</v>
      </c>
      <c r="H78" s="75">
        <v>4</v>
      </c>
      <c r="I78" s="75">
        <v>5</v>
      </c>
      <c r="J78" s="75">
        <v>6</v>
      </c>
      <c r="K78" s="75">
        <v>7</v>
      </c>
      <c r="L78" s="75">
        <v>8</v>
      </c>
      <c r="M78" s="75">
        <v>9</v>
      </c>
      <c r="N78" s="75">
        <v>10</v>
      </c>
      <c r="O78" s="75">
        <v>11</v>
      </c>
      <c r="P78" s="75">
        <v>12</v>
      </c>
      <c r="Q78" s="75">
        <v>13</v>
      </c>
      <c r="R78" s="77">
        <v>14</v>
      </c>
      <c r="S78" s="44"/>
      <c r="T78" s="45"/>
      <c r="U78" s="2"/>
      <c r="V78" s="2"/>
    </row>
    <row r="79" spans="1:22" ht="28.8" x14ac:dyDescent="0.3">
      <c r="A79" s="2"/>
      <c r="B79" s="179"/>
      <c r="C79" s="180"/>
      <c r="D79" s="84" t="s">
        <v>47</v>
      </c>
      <c r="E79" s="76" t="s">
        <v>259</v>
      </c>
      <c r="F79" s="76" t="s">
        <v>87</v>
      </c>
      <c r="G79" s="76" t="s">
        <v>87</v>
      </c>
      <c r="H79" s="76" t="s">
        <v>87</v>
      </c>
      <c r="I79" s="76" t="s">
        <v>111</v>
      </c>
      <c r="J79" s="76" t="s">
        <v>260</v>
      </c>
      <c r="K79" s="76" t="s">
        <v>289</v>
      </c>
      <c r="L79" s="76" t="s">
        <v>290</v>
      </c>
      <c r="M79" s="76" t="s">
        <v>275</v>
      </c>
      <c r="N79" s="76" t="s">
        <v>288</v>
      </c>
      <c r="O79" s="76" t="s">
        <v>291</v>
      </c>
      <c r="P79" s="76" t="s">
        <v>292</v>
      </c>
      <c r="Q79" s="76" t="s">
        <v>252</v>
      </c>
      <c r="R79" s="78" t="s">
        <v>293</v>
      </c>
      <c r="S79" s="42"/>
      <c r="T79" s="43"/>
      <c r="U79" s="2"/>
      <c r="V79" s="2"/>
    </row>
    <row r="80" spans="1:22" x14ac:dyDescent="0.3">
      <c r="A80" s="2"/>
      <c r="B80" s="177" t="s">
        <v>70</v>
      </c>
      <c r="C80" s="178"/>
      <c r="D80" s="86" t="s">
        <v>46</v>
      </c>
      <c r="E80" s="75">
        <v>1</v>
      </c>
      <c r="F80" s="75">
        <v>2</v>
      </c>
      <c r="G80" s="75">
        <v>3</v>
      </c>
      <c r="H80" s="75">
        <v>4</v>
      </c>
      <c r="I80" s="75">
        <v>5</v>
      </c>
      <c r="J80" s="75">
        <v>6</v>
      </c>
      <c r="K80" s="75">
        <v>7</v>
      </c>
      <c r="L80" s="75">
        <v>8</v>
      </c>
      <c r="M80" s="75">
        <v>9</v>
      </c>
      <c r="N80" s="75">
        <v>10</v>
      </c>
      <c r="O80" s="75">
        <v>11</v>
      </c>
      <c r="P80" s="75">
        <v>12</v>
      </c>
      <c r="Q80" s="75">
        <v>13</v>
      </c>
      <c r="R80" s="77">
        <v>14</v>
      </c>
      <c r="S80" s="44"/>
      <c r="T80" s="45"/>
      <c r="U80" s="2"/>
      <c r="V80" s="2"/>
    </row>
    <row r="81" spans="1:22" x14ac:dyDescent="0.3">
      <c r="A81" s="2"/>
      <c r="B81" s="179"/>
      <c r="C81" s="180"/>
      <c r="D81" s="84" t="s">
        <v>47</v>
      </c>
      <c r="E81" s="76" t="s">
        <v>294</v>
      </c>
      <c r="F81" s="76" t="s">
        <v>87</v>
      </c>
      <c r="G81" s="76" t="s">
        <v>87</v>
      </c>
      <c r="H81" s="76" t="s">
        <v>87</v>
      </c>
      <c r="I81" s="76" t="s">
        <v>294</v>
      </c>
      <c r="J81" s="76" t="s">
        <v>87</v>
      </c>
      <c r="K81" s="76" t="s">
        <v>87</v>
      </c>
      <c r="L81" s="76" t="s">
        <v>295</v>
      </c>
      <c r="M81" s="76" t="s">
        <v>296</v>
      </c>
      <c r="N81" s="76" t="s">
        <v>294</v>
      </c>
      <c r="O81" s="76" t="s">
        <v>297</v>
      </c>
      <c r="P81" s="76" t="s">
        <v>298</v>
      </c>
      <c r="Q81" s="76" t="s">
        <v>299</v>
      </c>
      <c r="R81" s="78" t="s">
        <v>300</v>
      </c>
      <c r="S81" s="42"/>
      <c r="T81" s="43"/>
      <c r="U81" s="2"/>
      <c r="V81" s="2"/>
    </row>
    <row r="82" spans="1:22" x14ac:dyDescent="0.3">
      <c r="A82" s="2"/>
      <c r="B82" s="177" t="s">
        <v>71</v>
      </c>
      <c r="C82" s="178"/>
      <c r="D82" s="86" t="s">
        <v>46</v>
      </c>
      <c r="E82" s="75">
        <v>1</v>
      </c>
      <c r="F82" s="75">
        <v>2</v>
      </c>
      <c r="G82" s="75">
        <v>3</v>
      </c>
      <c r="H82" s="75">
        <v>4</v>
      </c>
      <c r="I82" s="75">
        <v>5</v>
      </c>
      <c r="J82" s="75">
        <v>6</v>
      </c>
      <c r="K82" s="75">
        <v>7</v>
      </c>
      <c r="L82" s="75">
        <v>8</v>
      </c>
      <c r="M82" s="75">
        <v>9</v>
      </c>
      <c r="N82" s="75">
        <v>10</v>
      </c>
      <c r="O82" s="75">
        <v>11</v>
      </c>
      <c r="P82" s="75">
        <v>12</v>
      </c>
      <c r="Q82" s="77">
        <v>13</v>
      </c>
      <c r="R82" s="44"/>
      <c r="S82" s="44"/>
      <c r="T82" s="45"/>
      <c r="U82" s="2"/>
      <c r="V82" s="2"/>
    </row>
    <row r="83" spans="1:22" x14ac:dyDescent="0.3">
      <c r="A83" s="2"/>
      <c r="B83" s="179"/>
      <c r="C83" s="180"/>
      <c r="D83" s="85" t="s">
        <v>47</v>
      </c>
      <c r="E83" s="73" t="s">
        <v>87</v>
      </c>
      <c r="F83" s="73" t="s">
        <v>87</v>
      </c>
      <c r="G83" s="73" t="s">
        <v>87</v>
      </c>
      <c r="H83" s="73" t="s">
        <v>301</v>
      </c>
      <c r="I83" s="73" t="s">
        <v>87</v>
      </c>
      <c r="J83" s="73" t="s">
        <v>115</v>
      </c>
      <c r="K83" s="73" t="s">
        <v>302</v>
      </c>
      <c r="L83" s="73" t="s">
        <v>303</v>
      </c>
      <c r="M83" s="73" t="s">
        <v>304</v>
      </c>
      <c r="N83" s="73" t="s">
        <v>305</v>
      </c>
      <c r="O83" s="73" t="s">
        <v>306</v>
      </c>
      <c r="P83" s="73" t="s">
        <v>147</v>
      </c>
      <c r="Q83" s="74" t="s">
        <v>307</v>
      </c>
      <c r="R83" s="42"/>
      <c r="S83" s="42"/>
      <c r="T83" s="43"/>
      <c r="U83" s="2"/>
      <c r="V83" s="2"/>
    </row>
    <row r="84" spans="1:22" x14ac:dyDescent="0.3">
      <c r="A84" s="2"/>
      <c r="B84" s="177" t="s">
        <v>72</v>
      </c>
      <c r="C84" s="178"/>
      <c r="D84" s="86" t="s">
        <v>46</v>
      </c>
      <c r="E84" s="75">
        <v>1</v>
      </c>
      <c r="F84" s="75">
        <v>2</v>
      </c>
      <c r="G84" s="75">
        <v>3</v>
      </c>
      <c r="H84" s="75">
        <v>4</v>
      </c>
      <c r="I84" s="75">
        <v>5</v>
      </c>
      <c r="J84" s="75">
        <v>6</v>
      </c>
      <c r="K84" s="75">
        <v>7</v>
      </c>
      <c r="L84" s="75">
        <v>8</v>
      </c>
      <c r="M84" s="75">
        <v>9</v>
      </c>
      <c r="N84" s="75">
        <v>10</v>
      </c>
      <c r="O84" s="75">
        <v>11</v>
      </c>
      <c r="P84" s="75">
        <v>12</v>
      </c>
      <c r="Q84" s="75">
        <v>13</v>
      </c>
      <c r="R84" s="77">
        <v>14</v>
      </c>
      <c r="S84" s="44"/>
      <c r="T84" s="45"/>
      <c r="U84" s="2"/>
      <c r="V84" s="2"/>
    </row>
    <row r="85" spans="1:22" x14ac:dyDescent="0.3">
      <c r="A85" s="2"/>
      <c r="B85" s="179"/>
      <c r="C85" s="180"/>
      <c r="D85" s="84" t="s">
        <v>47</v>
      </c>
      <c r="E85" s="76" t="s">
        <v>87</v>
      </c>
      <c r="F85" s="76" t="s">
        <v>87</v>
      </c>
      <c r="G85" s="76" t="s">
        <v>87</v>
      </c>
      <c r="H85" s="76" t="s">
        <v>308</v>
      </c>
      <c r="I85" s="76" t="s">
        <v>87</v>
      </c>
      <c r="J85" s="76" t="s">
        <v>87</v>
      </c>
      <c r="K85" s="76" t="s">
        <v>87</v>
      </c>
      <c r="L85" s="76" t="s">
        <v>309</v>
      </c>
      <c r="M85" s="76" t="s">
        <v>310</v>
      </c>
      <c r="N85" s="76" t="s">
        <v>310</v>
      </c>
      <c r="O85" s="76" t="s">
        <v>311</v>
      </c>
      <c r="P85" s="76" t="s">
        <v>312</v>
      </c>
      <c r="Q85" s="76" t="s">
        <v>313</v>
      </c>
      <c r="R85" s="78" t="s">
        <v>314</v>
      </c>
      <c r="S85" s="42"/>
      <c r="T85" s="43"/>
      <c r="U85" s="2"/>
      <c r="V85" s="2"/>
    </row>
    <row r="86" spans="1:22" x14ac:dyDescent="0.3">
      <c r="A86" s="2"/>
      <c r="B86" s="177" t="s">
        <v>73</v>
      </c>
      <c r="C86" s="178"/>
      <c r="D86" s="86" t="s">
        <v>46</v>
      </c>
      <c r="E86" s="75">
        <v>1</v>
      </c>
      <c r="F86" s="75">
        <v>2</v>
      </c>
      <c r="G86" s="75">
        <v>3</v>
      </c>
      <c r="H86" s="75">
        <v>4</v>
      </c>
      <c r="I86" s="75">
        <v>5</v>
      </c>
      <c r="J86" s="75">
        <v>6</v>
      </c>
      <c r="K86" s="75">
        <v>7</v>
      </c>
      <c r="L86" s="75">
        <v>8</v>
      </c>
      <c r="M86" s="75">
        <v>9</v>
      </c>
      <c r="N86" s="75">
        <v>10</v>
      </c>
      <c r="O86" s="75">
        <v>11</v>
      </c>
      <c r="P86" s="75">
        <v>12</v>
      </c>
      <c r="Q86" s="75">
        <v>13</v>
      </c>
      <c r="R86" s="77">
        <v>14</v>
      </c>
      <c r="S86" s="44"/>
      <c r="T86" s="45"/>
      <c r="U86" s="2"/>
      <c r="V86" s="2"/>
    </row>
    <row r="87" spans="1:22" x14ac:dyDescent="0.3">
      <c r="A87" s="2"/>
      <c r="B87" s="179"/>
      <c r="C87" s="180"/>
      <c r="D87" s="84" t="s">
        <v>47</v>
      </c>
      <c r="E87" s="76" t="s">
        <v>87</v>
      </c>
      <c r="F87" s="76" t="s">
        <v>87</v>
      </c>
      <c r="G87" s="76" t="s">
        <v>87</v>
      </c>
      <c r="H87" s="76" t="s">
        <v>315</v>
      </c>
      <c r="I87" s="76" t="s">
        <v>87</v>
      </c>
      <c r="J87" s="76" t="s">
        <v>316</v>
      </c>
      <c r="K87" s="76" t="s">
        <v>317</v>
      </c>
      <c r="L87" s="76" t="s">
        <v>318</v>
      </c>
      <c r="M87" s="76" t="s">
        <v>319</v>
      </c>
      <c r="N87" s="76" t="s">
        <v>317</v>
      </c>
      <c r="O87" s="76" t="s">
        <v>320</v>
      </c>
      <c r="P87" s="76" t="s">
        <v>320</v>
      </c>
      <c r="Q87" s="76" t="s">
        <v>222</v>
      </c>
      <c r="R87" s="78" t="s">
        <v>321</v>
      </c>
      <c r="S87" s="42"/>
      <c r="T87" s="43"/>
      <c r="U87" s="2"/>
      <c r="V87" s="2"/>
    </row>
    <row r="88" spans="1:22" x14ac:dyDescent="0.3">
      <c r="A88" s="2"/>
      <c r="B88" s="177" t="s">
        <v>74</v>
      </c>
      <c r="C88" s="178"/>
      <c r="D88" s="86" t="s">
        <v>46</v>
      </c>
      <c r="E88" s="75">
        <v>1</v>
      </c>
      <c r="F88" s="75">
        <v>2</v>
      </c>
      <c r="G88" s="75">
        <v>3</v>
      </c>
      <c r="H88" s="75">
        <v>4</v>
      </c>
      <c r="I88" s="75">
        <v>5</v>
      </c>
      <c r="J88" s="75">
        <v>6</v>
      </c>
      <c r="K88" s="75">
        <v>7</v>
      </c>
      <c r="L88" s="75">
        <v>8</v>
      </c>
      <c r="M88" s="75">
        <v>9</v>
      </c>
      <c r="N88" s="75">
        <v>10</v>
      </c>
      <c r="O88" s="75">
        <v>11</v>
      </c>
      <c r="P88" s="75">
        <v>12</v>
      </c>
      <c r="Q88" s="75">
        <v>13</v>
      </c>
      <c r="R88" s="77">
        <v>14</v>
      </c>
      <c r="S88" s="44"/>
      <c r="T88" s="45"/>
      <c r="U88" s="2"/>
      <c r="V88" s="2"/>
    </row>
    <row r="89" spans="1:22" ht="28.8" x14ac:dyDescent="0.3">
      <c r="A89" s="2"/>
      <c r="B89" s="179"/>
      <c r="C89" s="180"/>
      <c r="D89" s="84" t="s">
        <v>47</v>
      </c>
      <c r="E89" s="76" t="s">
        <v>87</v>
      </c>
      <c r="F89" s="76" t="s">
        <v>87</v>
      </c>
      <c r="G89" s="76" t="s">
        <v>87</v>
      </c>
      <c r="H89" s="76" t="s">
        <v>87</v>
      </c>
      <c r="I89" s="76" t="s">
        <v>322</v>
      </c>
      <c r="J89" s="76" t="s">
        <v>87</v>
      </c>
      <c r="K89" s="76" t="s">
        <v>323</v>
      </c>
      <c r="L89" s="76" t="s">
        <v>324</v>
      </c>
      <c r="M89" s="76" t="s">
        <v>110</v>
      </c>
      <c r="N89" s="76" t="s">
        <v>323</v>
      </c>
      <c r="O89" s="76" t="s">
        <v>319</v>
      </c>
      <c r="P89" s="76" t="s">
        <v>319</v>
      </c>
      <c r="Q89" s="76" t="s">
        <v>286</v>
      </c>
      <c r="R89" s="78" t="s">
        <v>325</v>
      </c>
      <c r="S89" s="42"/>
      <c r="T89" s="43"/>
      <c r="U89" s="2"/>
      <c r="V89" s="2"/>
    </row>
    <row r="90" spans="1:22" x14ac:dyDescent="0.3">
      <c r="A90" s="2"/>
      <c r="B90" s="177" t="s">
        <v>75</v>
      </c>
      <c r="C90" s="178"/>
      <c r="D90" s="86" t="s">
        <v>46</v>
      </c>
      <c r="E90" s="75">
        <v>1</v>
      </c>
      <c r="F90" s="75">
        <v>2</v>
      </c>
      <c r="G90" s="75">
        <v>3</v>
      </c>
      <c r="H90" s="75">
        <v>4</v>
      </c>
      <c r="I90" s="75">
        <v>5</v>
      </c>
      <c r="J90" s="75">
        <v>6</v>
      </c>
      <c r="K90" s="75">
        <v>7</v>
      </c>
      <c r="L90" s="75">
        <v>8</v>
      </c>
      <c r="M90" s="75">
        <v>9</v>
      </c>
      <c r="N90" s="75">
        <v>10</v>
      </c>
      <c r="O90" s="75">
        <v>11</v>
      </c>
      <c r="P90" s="75">
        <v>12</v>
      </c>
      <c r="Q90" s="75">
        <v>13</v>
      </c>
      <c r="R90" s="77">
        <v>14</v>
      </c>
      <c r="S90" s="44"/>
      <c r="T90" s="45"/>
      <c r="U90" s="2"/>
      <c r="V90" s="2"/>
    </row>
    <row r="91" spans="1:22" x14ac:dyDescent="0.3">
      <c r="A91" s="2"/>
      <c r="B91" s="179"/>
      <c r="C91" s="180"/>
      <c r="D91" s="84" t="s">
        <v>47</v>
      </c>
      <c r="E91" s="76" t="s">
        <v>87</v>
      </c>
      <c r="F91" s="76" t="s">
        <v>87</v>
      </c>
      <c r="G91" s="76" t="s">
        <v>87</v>
      </c>
      <c r="H91" s="76" t="s">
        <v>87</v>
      </c>
      <c r="I91" s="76" t="s">
        <v>87</v>
      </c>
      <c r="J91" s="76" t="s">
        <v>87</v>
      </c>
      <c r="K91" s="76" t="s">
        <v>87</v>
      </c>
      <c r="L91" s="76" t="s">
        <v>102</v>
      </c>
      <c r="M91" s="76" t="s">
        <v>233</v>
      </c>
      <c r="N91" s="76" t="s">
        <v>326</v>
      </c>
      <c r="O91" s="76" t="s">
        <v>327</v>
      </c>
      <c r="P91" s="76" t="s">
        <v>218</v>
      </c>
      <c r="Q91" s="76" t="s">
        <v>87</v>
      </c>
      <c r="R91" s="78" t="s">
        <v>328</v>
      </c>
      <c r="S91" s="42"/>
      <c r="T91" s="43"/>
      <c r="U91" s="2"/>
      <c r="V91" s="2"/>
    </row>
    <row r="92" spans="1:22" x14ac:dyDescent="0.3">
      <c r="A92" s="2"/>
      <c r="B92" s="177" t="s">
        <v>76</v>
      </c>
      <c r="C92" s="178"/>
      <c r="D92" s="86" t="s">
        <v>46</v>
      </c>
      <c r="E92" s="75">
        <v>1</v>
      </c>
      <c r="F92" s="75">
        <v>2</v>
      </c>
      <c r="G92" s="75">
        <v>3</v>
      </c>
      <c r="H92" s="75">
        <v>4</v>
      </c>
      <c r="I92" s="75">
        <v>5</v>
      </c>
      <c r="J92" s="75">
        <v>6</v>
      </c>
      <c r="K92" s="75">
        <v>7</v>
      </c>
      <c r="L92" s="75">
        <v>8</v>
      </c>
      <c r="M92" s="75">
        <v>9</v>
      </c>
      <c r="N92" s="75">
        <v>10</v>
      </c>
      <c r="O92" s="75">
        <v>11</v>
      </c>
      <c r="P92" s="75">
        <v>12</v>
      </c>
      <c r="Q92" s="77">
        <v>13</v>
      </c>
      <c r="R92" s="44"/>
      <c r="S92" s="44"/>
      <c r="T92" s="45"/>
      <c r="U92" s="2"/>
      <c r="V92" s="2"/>
    </row>
    <row r="93" spans="1:22" x14ac:dyDescent="0.3">
      <c r="A93" s="2"/>
      <c r="B93" s="179"/>
      <c r="C93" s="180"/>
      <c r="D93" s="84" t="s">
        <v>47</v>
      </c>
      <c r="E93" s="76" t="s">
        <v>87</v>
      </c>
      <c r="F93" s="76" t="s">
        <v>329</v>
      </c>
      <c r="G93" s="76" t="s">
        <v>87</v>
      </c>
      <c r="H93" s="76" t="s">
        <v>87</v>
      </c>
      <c r="I93" s="76" t="s">
        <v>87</v>
      </c>
      <c r="J93" s="76" t="s">
        <v>329</v>
      </c>
      <c r="K93" s="76" t="s">
        <v>87</v>
      </c>
      <c r="L93" s="76" t="s">
        <v>146</v>
      </c>
      <c r="M93" s="76" t="s">
        <v>330</v>
      </c>
      <c r="N93" s="76" t="s">
        <v>331</v>
      </c>
      <c r="O93" s="76" t="s">
        <v>332</v>
      </c>
      <c r="P93" s="76" t="s">
        <v>333</v>
      </c>
      <c r="Q93" s="78" t="s">
        <v>334</v>
      </c>
      <c r="R93" s="42"/>
      <c r="S93" s="42"/>
      <c r="T93" s="43"/>
      <c r="U93" s="2"/>
      <c r="V93" s="2"/>
    </row>
    <row r="94" spans="1:22" x14ac:dyDescent="0.3">
      <c r="A94" s="2"/>
      <c r="B94" s="177" t="s">
        <v>77</v>
      </c>
      <c r="C94" s="178"/>
      <c r="D94" s="86" t="s">
        <v>46</v>
      </c>
      <c r="E94" s="75">
        <v>1</v>
      </c>
      <c r="F94" s="75">
        <v>2</v>
      </c>
      <c r="G94" s="75">
        <v>3</v>
      </c>
      <c r="H94" s="75">
        <v>4</v>
      </c>
      <c r="I94" s="75">
        <v>5</v>
      </c>
      <c r="J94" s="75">
        <v>6</v>
      </c>
      <c r="K94" s="75">
        <v>7</v>
      </c>
      <c r="L94" s="75">
        <v>8</v>
      </c>
      <c r="M94" s="75">
        <v>9</v>
      </c>
      <c r="N94" s="75">
        <v>10</v>
      </c>
      <c r="O94" s="75">
        <v>11</v>
      </c>
      <c r="P94" s="77">
        <v>12</v>
      </c>
      <c r="Q94" s="44"/>
      <c r="R94" s="44"/>
      <c r="S94" s="44"/>
      <c r="T94" s="45"/>
      <c r="U94" s="2"/>
      <c r="V94" s="2"/>
    </row>
    <row r="95" spans="1:22" ht="43.2" x14ac:dyDescent="0.3">
      <c r="A95" s="2"/>
      <c r="B95" s="179"/>
      <c r="C95" s="180"/>
      <c r="D95" s="85" t="s">
        <v>47</v>
      </c>
      <c r="E95" s="73" t="s">
        <v>87</v>
      </c>
      <c r="F95" s="73" t="s">
        <v>87</v>
      </c>
      <c r="G95" s="73" t="s">
        <v>87</v>
      </c>
      <c r="H95" s="73" t="s">
        <v>87</v>
      </c>
      <c r="I95" s="73" t="s">
        <v>335</v>
      </c>
      <c r="J95" s="73" t="s">
        <v>336</v>
      </c>
      <c r="K95" s="73" t="s">
        <v>337</v>
      </c>
      <c r="L95" s="73" t="s">
        <v>233</v>
      </c>
      <c r="M95" s="73" t="s">
        <v>332</v>
      </c>
      <c r="N95" s="73" t="s">
        <v>231</v>
      </c>
      <c r="O95" s="73" t="s">
        <v>338</v>
      </c>
      <c r="P95" s="74" t="s">
        <v>339</v>
      </c>
      <c r="Q95" s="42"/>
      <c r="R95" s="42"/>
      <c r="S95" s="42"/>
      <c r="T95" s="43"/>
      <c r="U95" s="2"/>
      <c r="V95" s="2"/>
    </row>
    <row r="96" spans="1:22" x14ac:dyDescent="0.3">
      <c r="A96" s="2"/>
      <c r="B96" s="177" t="s">
        <v>78</v>
      </c>
      <c r="C96" s="178"/>
      <c r="D96" s="86" t="s">
        <v>46</v>
      </c>
      <c r="E96" s="75">
        <v>1</v>
      </c>
      <c r="F96" s="75">
        <v>2</v>
      </c>
      <c r="G96" s="75">
        <v>3</v>
      </c>
      <c r="H96" s="75">
        <v>4</v>
      </c>
      <c r="I96" s="75">
        <v>5</v>
      </c>
      <c r="J96" s="75">
        <v>6</v>
      </c>
      <c r="K96" s="75">
        <v>7</v>
      </c>
      <c r="L96" s="75">
        <v>8</v>
      </c>
      <c r="M96" s="75">
        <v>9</v>
      </c>
      <c r="N96" s="75">
        <v>10</v>
      </c>
      <c r="O96" s="75">
        <v>11</v>
      </c>
      <c r="P96" s="75">
        <v>12</v>
      </c>
      <c r="Q96" s="77">
        <v>13</v>
      </c>
      <c r="R96" s="44"/>
      <c r="S96" s="44"/>
      <c r="T96" s="45"/>
      <c r="U96" s="2"/>
      <c r="V96" s="2"/>
    </row>
    <row r="97" spans="1:22" x14ac:dyDescent="0.3">
      <c r="A97" s="2"/>
      <c r="B97" s="179"/>
      <c r="C97" s="180"/>
      <c r="D97" s="84" t="s">
        <v>47</v>
      </c>
      <c r="E97" s="76" t="s">
        <v>340</v>
      </c>
      <c r="F97" s="76" t="s">
        <v>87</v>
      </c>
      <c r="G97" s="76" t="s">
        <v>87</v>
      </c>
      <c r="H97" s="76" t="s">
        <v>87</v>
      </c>
      <c r="I97" s="76" t="s">
        <v>87</v>
      </c>
      <c r="J97" s="76" t="s">
        <v>87</v>
      </c>
      <c r="K97" s="76" t="s">
        <v>196</v>
      </c>
      <c r="L97" s="76" t="s">
        <v>341</v>
      </c>
      <c r="M97" s="76" t="s">
        <v>342</v>
      </c>
      <c r="N97" s="76" t="s">
        <v>343</v>
      </c>
      <c r="O97" s="76" t="s">
        <v>344</v>
      </c>
      <c r="P97" s="76" t="s">
        <v>239</v>
      </c>
      <c r="Q97" s="78" t="s">
        <v>345</v>
      </c>
      <c r="R97" s="42"/>
      <c r="S97" s="42"/>
      <c r="T97" s="43"/>
      <c r="U97" s="2"/>
      <c r="V97" s="2"/>
    </row>
    <row r="98" spans="1:22" x14ac:dyDescent="0.3">
      <c r="A98" s="2"/>
      <c r="B98" s="177" t="s">
        <v>79</v>
      </c>
      <c r="C98" s="178"/>
      <c r="D98" s="86" t="s">
        <v>46</v>
      </c>
      <c r="E98" s="75">
        <v>1</v>
      </c>
      <c r="F98" s="75">
        <v>2</v>
      </c>
      <c r="G98" s="75">
        <v>3</v>
      </c>
      <c r="H98" s="75">
        <v>4</v>
      </c>
      <c r="I98" s="75">
        <v>5</v>
      </c>
      <c r="J98" s="75">
        <v>6</v>
      </c>
      <c r="K98" s="75">
        <v>7</v>
      </c>
      <c r="L98" s="75">
        <v>8</v>
      </c>
      <c r="M98" s="75">
        <v>9</v>
      </c>
      <c r="N98" s="75">
        <v>10</v>
      </c>
      <c r="O98" s="75">
        <v>11</v>
      </c>
      <c r="P98" s="75">
        <v>12</v>
      </c>
      <c r="Q98" s="77">
        <v>13</v>
      </c>
      <c r="R98" s="44"/>
      <c r="S98" s="44"/>
      <c r="T98" s="45"/>
      <c r="U98" s="2"/>
      <c r="V98" s="2"/>
    </row>
    <row r="99" spans="1:22" x14ac:dyDescent="0.3">
      <c r="A99" s="2"/>
      <c r="B99" s="179"/>
      <c r="C99" s="180"/>
      <c r="D99" s="84" t="s">
        <v>47</v>
      </c>
      <c r="E99" s="76" t="s">
        <v>87</v>
      </c>
      <c r="F99" s="76" t="s">
        <v>346</v>
      </c>
      <c r="G99" s="76" t="s">
        <v>87</v>
      </c>
      <c r="H99" s="76" t="s">
        <v>87</v>
      </c>
      <c r="I99" s="76" t="s">
        <v>87</v>
      </c>
      <c r="J99" s="76" t="s">
        <v>87</v>
      </c>
      <c r="K99" s="76" t="s">
        <v>347</v>
      </c>
      <c r="L99" s="76" t="s">
        <v>275</v>
      </c>
      <c r="M99" s="76" t="s">
        <v>348</v>
      </c>
      <c r="N99" s="76" t="s">
        <v>349</v>
      </c>
      <c r="O99" s="76" t="s">
        <v>350</v>
      </c>
      <c r="P99" s="76" t="s">
        <v>351</v>
      </c>
      <c r="Q99" s="78" t="s">
        <v>352</v>
      </c>
      <c r="R99" s="42"/>
      <c r="S99" s="42"/>
      <c r="T99" s="43"/>
      <c r="U99" s="2"/>
      <c r="V99" s="2"/>
    </row>
    <row r="100" spans="1:22" x14ac:dyDescent="0.3">
      <c r="A100" s="2"/>
      <c r="B100" s="177" t="s">
        <v>80</v>
      </c>
      <c r="C100" s="178"/>
      <c r="D100" s="86" t="s">
        <v>46</v>
      </c>
      <c r="E100" s="75">
        <v>1</v>
      </c>
      <c r="F100" s="75">
        <v>2</v>
      </c>
      <c r="G100" s="75">
        <v>3</v>
      </c>
      <c r="H100" s="75">
        <v>4</v>
      </c>
      <c r="I100" s="75">
        <v>5</v>
      </c>
      <c r="J100" s="75">
        <v>6</v>
      </c>
      <c r="K100" s="75">
        <v>7</v>
      </c>
      <c r="L100" s="75">
        <v>8</v>
      </c>
      <c r="M100" s="75">
        <v>9</v>
      </c>
      <c r="N100" s="75">
        <v>10</v>
      </c>
      <c r="O100" s="75">
        <v>11</v>
      </c>
      <c r="P100" s="75">
        <v>12</v>
      </c>
      <c r="Q100" s="77">
        <v>13</v>
      </c>
      <c r="R100" s="44"/>
      <c r="S100" s="44"/>
      <c r="T100" s="45"/>
      <c r="U100" s="2"/>
      <c r="V100" s="2"/>
    </row>
    <row r="101" spans="1:22" x14ac:dyDescent="0.3">
      <c r="A101" s="2"/>
      <c r="B101" s="179"/>
      <c r="C101" s="180"/>
      <c r="D101" s="84" t="s">
        <v>47</v>
      </c>
      <c r="E101" s="76" t="s">
        <v>87</v>
      </c>
      <c r="F101" s="76" t="s">
        <v>196</v>
      </c>
      <c r="G101" s="76" t="s">
        <v>87</v>
      </c>
      <c r="H101" s="76" t="s">
        <v>87</v>
      </c>
      <c r="I101" s="76" t="s">
        <v>353</v>
      </c>
      <c r="J101" s="76" t="s">
        <v>354</v>
      </c>
      <c r="K101" s="76" t="s">
        <v>355</v>
      </c>
      <c r="L101" s="76" t="s">
        <v>120</v>
      </c>
      <c r="M101" s="76" t="s">
        <v>356</v>
      </c>
      <c r="N101" s="76" t="s">
        <v>357</v>
      </c>
      <c r="O101" s="76" t="s">
        <v>358</v>
      </c>
      <c r="P101" s="76" t="s">
        <v>358</v>
      </c>
      <c r="Q101" s="78" t="s">
        <v>359</v>
      </c>
      <c r="R101" s="42"/>
      <c r="S101" s="42"/>
      <c r="T101" s="43"/>
      <c r="U101" s="2"/>
      <c r="V101" s="2"/>
    </row>
    <row r="102" spans="1:22" x14ac:dyDescent="0.3">
      <c r="A102" s="2"/>
      <c r="B102" s="177" t="s">
        <v>81</v>
      </c>
      <c r="C102" s="178"/>
      <c r="D102" s="86" t="s">
        <v>46</v>
      </c>
      <c r="E102" s="75">
        <v>1</v>
      </c>
      <c r="F102" s="75">
        <v>2</v>
      </c>
      <c r="G102" s="75">
        <v>3</v>
      </c>
      <c r="H102" s="75">
        <v>4</v>
      </c>
      <c r="I102" s="75">
        <v>5</v>
      </c>
      <c r="J102" s="75">
        <v>6</v>
      </c>
      <c r="K102" s="75">
        <v>7</v>
      </c>
      <c r="L102" s="75">
        <v>8</v>
      </c>
      <c r="M102" s="75">
        <v>9</v>
      </c>
      <c r="N102" s="75">
        <v>10</v>
      </c>
      <c r="O102" s="75">
        <v>11</v>
      </c>
      <c r="P102" s="75">
        <v>12</v>
      </c>
      <c r="Q102" s="77">
        <v>13</v>
      </c>
      <c r="R102" s="44"/>
      <c r="S102" s="44"/>
      <c r="T102" s="45"/>
      <c r="U102" s="2"/>
      <c r="V102" s="2"/>
    </row>
    <row r="103" spans="1:22" x14ac:dyDescent="0.3">
      <c r="A103" s="2"/>
      <c r="B103" s="179"/>
      <c r="C103" s="180"/>
      <c r="D103" s="84" t="s">
        <v>47</v>
      </c>
      <c r="E103" s="76" t="s">
        <v>360</v>
      </c>
      <c r="F103" s="76" t="s">
        <v>310</v>
      </c>
      <c r="G103" s="76" t="s">
        <v>324</v>
      </c>
      <c r="H103" s="76" t="s">
        <v>87</v>
      </c>
      <c r="I103" s="76" t="s">
        <v>87</v>
      </c>
      <c r="J103" s="76" t="s">
        <v>87</v>
      </c>
      <c r="K103" s="76" t="s">
        <v>87</v>
      </c>
      <c r="L103" s="76" t="s">
        <v>87</v>
      </c>
      <c r="M103" s="76" t="s">
        <v>87</v>
      </c>
      <c r="N103" s="76" t="s">
        <v>87</v>
      </c>
      <c r="O103" s="76" t="s">
        <v>87</v>
      </c>
      <c r="P103" s="76" t="s">
        <v>87</v>
      </c>
      <c r="Q103" s="78" t="s">
        <v>361</v>
      </c>
      <c r="R103" s="42"/>
      <c r="S103" s="42"/>
      <c r="T103" s="43"/>
      <c r="U103" s="2"/>
      <c r="V103" s="2"/>
    </row>
    <row r="104" spans="1:22" x14ac:dyDescent="0.3">
      <c r="A104" s="2"/>
      <c r="B104" s="177" t="s">
        <v>82</v>
      </c>
      <c r="C104" s="178"/>
      <c r="D104" s="86" t="s">
        <v>46</v>
      </c>
      <c r="E104" s="75">
        <v>1</v>
      </c>
      <c r="F104" s="75">
        <v>2</v>
      </c>
      <c r="G104" s="75">
        <v>3</v>
      </c>
      <c r="H104" s="75">
        <v>4</v>
      </c>
      <c r="I104" s="75">
        <v>5</v>
      </c>
      <c r="J104" s="75">
        <v>6</v>
      </c>
      <c r="K104" s="75">
        <v>7</v>
      </c>
      <c r="L104" s="75">
        <v>8</v>
      </c>
      <c r="M104" s="75">
        <v>9</v>
      </c>
      <c r="N104" s="75">
        <v>10</v>
      </c>
      <c r="O104" s="75">
        <v>11</v>
      </c>
      <c r="P104" s="75">
        <v>12</v>
      </c>
      <c r="Q104" s="77">
        <v>13</v>
      </c>
      <c r="R104" s="44"/>
      <c r="S104" s="44"/>
      <c r="T104" s="45"/>
      <c r="U104" s="2"/>
      <c r="V104" s="2"/>
    </row>
    <row r="105" spans="1:22" x14ac:dyDescent="0.3">
      <c r="A105" s="2"/>
      <c r="B105" s="179"/>
      <c r="C105" s="180"/>
      <c r="D105" s="85" t="s">
        <v>47</v>
      </c>
      <c r="E105" s="73" t="s">
        <v>87</v>
      </c>
      <c r="F105" s="73" t="s">
        <v>362</v>
      </c>
      <c r="G105" s="73" t="s">
        <v>87</v>
      </c>
      <c r="H105" s="73" t="s">
        <v>87</v>
      </c>
      <c r="I105" s="73" t="s">
        <v>87</v>
      </c>
      <c r="J105" s="73" t="s">
        <v>363</v>
      </c>
      <c r="K105" s="73" t="s">
        <v>87</v>
      </c>
      <c r="L105" s="73" t="s">
        <v>364</v>
      </c>
      <c r="M105" s="73" t="s">
        <v>365</v>
      </c>
      <c r="N105" s="73" t="s">
        <v>367</v>
      </c>
      <c r="O105" s="73" t="s">
        <v>366</v>
      </c>
      <c r="P105" s="73" t="s">
        <v>363</v>
      </c>
      <c r="Q105" s="74" t="s">
        <v>136</v>
      </c>
      <c r="R105" s="42"/>
      <c r="S105" s="42"/>
      <c r="T105" s="43"/>
      <c r="U105" s="2"/>
      <c r="V105" s="2"/>
    </row>
    <row r="106" spans="1:22" x14ac:dyDescent="0.3">
      <c r="A106" s="2"/>
      <c r="B106" s="177" t="s">
        <v>71</v>
      </c>
      <c r="C106" s="178"/>
      <c r="D106" s="86" t="s">
        <v>46</v>
      </c>
      <c r="E106" s="75">
        <v>1</v>
      </c>
      <c r="F106" s="75">
        <v>2</v>
      </c>
      <c r="G106" s="75">
        <v>3</v>
      </c>
      <c r="H106" s="75">
        <v>4</v>
      </c>
      <c r="I106" s="75">
        <v>5</v>
      </c>
      <c r="J106" s="75">
        <v>6</v>
      </c>
      <c r="K106" s="75">
        <v>7</v>
      </c>
      <c r="L106" s="75">
        <v>8</v>
      </c>
      <c r="M106" s="75">
        <v>9</v>
      </c>
      <c r="N106" s="75">
        <v>10</v>
      </c>
      <c r="O106" s="75">
        <v>11</v>
      </c>
      <c r="P106" s="75">
        <v>12</v>
      </c>
      <c r="Q106" s="75">
        <v>13</v>
      </c>
      <c r="R106" s="77">
        <v>14</v>
      </c>
      <c r="S106" s="44"/>
      <c r="T106" s="45"/>
      <c r="U106" s="2"/>
      <c r="V106" s="2"/>
    </row>
    <row r="107" spans="1:22" ht="28.8" x14ac:dyDescent="0.3">
      <c r="A107" s="2"/>
      <c r="B107" s="179"/>
      <c r="C107" s="180"/>
      <c r="D107" s="84" t="s">
        <v>47</v>
      </c>
      <c r="E107" s="76" t="s">
        <v>368</v>
      </c>
      <c r="F107" s="76" t="s">
        <v>87</v>
      </c>
      <c r="G107" s="76" t="s">
        <v>87</v>
      </c>
      <c r="H107" s="76" t="s">
        <v>232</v>
      </c>
      <c r="I107" s="76" t="s">
        <v>87</v>
      </c>
      <c r="J107" s="76" t="s">
        <v>215</v>
      </c>
      <c r="K107" s="76" t="s">
        <v>87</v>
      </c>
      <c r="L107" s="76" t="s">
        <v>369</v>
      </c>
      <c r="M107" s="76" t="s">
        <v>370</v>
      </c>
      <c r="N107" s="76" t="s">
        <v>232</v>
      </c>
      <c r="O107" s="76" t="s">
        <v>371</v>
      </c>
      <c r="P107" s="76" t="s">
        <v>368</v>
      </c>
      <c r="Q107" s="76" t="s">
        <v>372</v>
      </c>
      <c r="R107" s="78" t="s">
        <v>373</v>
      </c>
      <c r="S107" s="42"/>
      <c r="T107" s="43"/>
      <c r="U107" s="2"/>
      <c r="V107" s="2"/>
    </row>
    <row r="108" spans="1:22" x14ac:dyDescent="0.3">
      <c r="A108" s="2"/>
      <c r="B108" s="177" t="s">
        <v>83</v>
      </c>
      <c r="C108" s="178"/>
      <c r="D108" s="86" t="s">
        <v>46</v>
      </c>
      <c r="E108" s="75">
        <v>1</v>
      </c>
      <c r="F108" s="75">
        <v>2</v>
      </c>
      <c r="G108" s="75">
        <v>3</v>
      </c>
      <c r="H108" s="75">
        <v>4</v>
      </c>
      <c r="I108" s="75">
        <v>5</v>
      </c>
      <c r="J108" s="75">
        <v>6</v>
      </c>
      <c r="K108" s="75">
        <v>7</v>
      </c>
      <c r="L108" s="75">
        <v>8</v>
      </c>
      <c r="M108" s="75">
        <v>9</v>
      </c>
      <c r="N108" s="75">
        <v>10</v>
      </c>
      <c r="O108" s="75">
        <v>11</v>
      </c>
      <c r="P108" s="75">
        <v>12</v>
      </c>
      <c r="Q108" s="77">
        <v>13</v>
      </c>
      <c r="R108" s="44"/>
      <c r="S108" s="44"/>
      <c r="T108" s="45"/>
      <c r="U108" s="2"/>
      <c r="V108" s="2"/>
    </row>
    <row r="109" spans="1:22" x14ac:dyDescent="0.3">
      <c r="A109" s="2"/>
      <c r="B109" s="179"/>
      <c r="C109" s="180"/>
      <c r="D109" s="84" t="s">
        <v>47</v>
      </c>
      <c r="E109" s="76" t="s">
        <v>87</v>
      </c>
      <c r="F109" s="76" t="s">
        <v>87</v>
      </c>
      <c r="G109" s="76" t="s">
        <v>87</v>
      </c>
      <c r="H109" s="76" t="s">
        <v>87</v>
      </c>
      <c r="I109" s="76" t="s">
        <v>87</v>
      </c>
      <c r="J109" s="76" t="s">
        <v>87</v>
      </c>
      <c r="K109" s="76" t="s">
        <v>230</v>
      </c>
      <c r="L109" s="76" t="s">
        <v>374</v>
      </c>
      <c r="M109" s="76" t="s">
        <v>375</v>
      </c>
      <c r="N109" s="76" t="s">
        <v>376</v>
      </c>
      <c r="O109" s="76" t="s">
        <v>377</v>
      </c>
      <c r="P109" s="76" t="s">
        <v>378</v>
      </c>
      <c r="Q109" s="78" t="s">
        <v>379</v>
      </c>
      <c r="R109" s="42"/>
      <c r="S109" s="42"/>
      <c r="T109" s="43"/>
      <c r="U109" s="2"/>
      <c r="V109" s="2"/>
    </row>
    <row r="110" spans="1:22" x14ac:dyDescent="0.3">
      <c r="A110" s="2"/>
      <c r="B110" s="177" t="s">
        <v>84</v>
      </c>
      <c r="C110" s="178"/>
      <c r="D110" s="86" t="s">
        <v>46</v>
      </c>
      <c r="E110" s="75">
        <v>1</v>
      </c>
      <c r="F110" s="75">
        <v>2</v>
      </c>
      <c r="G110" s="75">
        <v>3</v>
      </c>
      <c r="H110" s="75">
        <v>4</v>
      </c>
      <c r="I110" s="75">
        <v>5</v>
      </c>
      <c r="J110" s="75">
        <v>6</v>
      </c>
      <c r="K110" s="75">
        <v>7</v>
      </c>
      <c r="L110" s="75">
        <v>8</v>
      </c>
      <c r="M110" s="75">
        <v>9</v>
      </c>
      <c r="N110" s="75">
        <v>10</v>
      </c>
      <c r="O110" s="75">
        <v>11</v>
      </c>
      <c r="P110" s="75">
        <v>12</v>
      </c>
      <c r="Q110" s="77">
        <v>13</v>
      </c>
      <c r="R110" s="44"/>
      <c r="S110" s="44"/>
      <c r="T110" s="45"/>
      <c r="U110" s="2"/>
      <c r="V110" s="2"/>
    </row>
    <row r="111" spans="1:22" x14ac:dyDescent="0.3">
      <c r="A111" s="2"/>
      <c r="B111" s="179"/>
      <c r="C111" s="180"/>
      <c r="D111" s="84" t="s">
        <v>47</v>
      </c>
      <c r="E111" s="76" t="s">
        <v>87</v>
      </c>
      <c r="F111" s="76" t="s">
        <v>380</v>
      </c>
      <c r="G111" s="76" t="s">
        <v>87</v>
      </c>
      <c r="H111" s="76" t="s">
        <v>87</v>
      </c>
      <c r="I111" s="76" t="s">
        <v>87</v>
      </c>
      <c r="J111" s="76" t="s">
        <v>87</v>
      </c>
      <c r="K111" s="76" t="s">
        <v>381</v>
      </c>
      <c r="L111" s="76" t="s">
        <v>382</v>
      </c>
      <c r="M111" s="76" t="s">
        <v>383</v>
      </c>
      <c r="N111" s="76" t="s">
        <v>384</v>
      </c>
      <c r="O111" s="76" t="s">
        <v>385</v>
      </c>
      <c r="P111" s="76" t="s">
        <v>386</v>
      </c>
      <c r="Q111" s="78" t="s">
        <v>387</v>
      </c>
      <c r="R111" s="42"/>
      <c r="S111" s="42"/>
      <c r="T111" s="43"/>
      <c r="U111" s="2"/>
      <c r="V111" s="2"/>
    </row>
    <row r="112" spans="1:22" x14ac:dyDescent="0.3">
      <c r="A112" s="2"/>
      <c r="B112" s="177" t="s">
        <v>85</v>
      </c>
      <c r="C112" s="178"/>
      <c r="D112" s="86" t="s">
        <v>46</v>
      </c>
      <c r="E112" s="75">
        <v>1</v>
      </c>
      <c r="F112" s="75">
        <v>2</v>
      </c>
      <c r="G112" s="75">
        <v>3</v>
      </c>
      <c r="H112" s="75">
        <v>4</v>
      </c>
      <c r="I112" s="75">
        <v>5</v>
      </c>
      <c r="J112" s="75">
        <v>6</v>
      </c>
      <c r="K112" s="75">
        <v>7</v>
      </c>
      <c r="L112" s="75">
        <v>8</v>
      </c>
      <c r="M112" s="75">
        <v>9</v>
      </c>
      <c r="N112" s="75">
        <v>10</v>
      </c>
      <c r="O112" s="75">
        <v>11</v>
      </c>
      <c r="P112" s="75">
        <v>12</v>
      </c>
      <c r="Q112" s="77">
        <v>13</v>
      </c>
      <c r="R112" s="44"/>
      <c r="S112" s="44"/>
      <c r="T112" s="45"/>
      <c r="U112" s="2"/>
      <c r="V112" s="2"/>
    </row>
    <row r="113" spans="1:22" x14ac:dyDescent="0.3">
      <c r="A113" s="2"/>
      <c r="B113" s="179"/>
      <c r="C113" s="180"/>
      <c r="D113" s="84" t="s">
        <v>47</v>
      </c>
      <c r="E113" s="76" t="s">
        <v>388</v>
      </c>
      <c r="F113" s="76" t="s">
        <v>87</v>
      </c>
      <c r="G113" s="76" t="s">
        <v>87</v>
      </c>
      <c r="H113" s="76" t="s">
        <v>87</v>
      </c>
      <c r="I113" s="76" t="s">
        <v>87</v>
      </c>
      <c r="J113" s="76" t="s">
        <v>389</v>
      </c>
      <c r="K113" s="76" t="s">
        <v>390</v>
      </c>
      <c r="L113" s="76" t="s">
        <v>391</v>
      </c>
      <c r="M113" s="76" t="s">
        <v>390</v>
      </c>
      <c r="N113" s="76" t="s">
        <v>392</v>
      </c>
      <c r="O113" s="76" t="s">
        <v>393</v>
      </c>
      <c r="P113" s="76" t="s">
        <v>394</v>
      </c>
      <c r="Q113" s="78" t="s">
        <v>395</v>
      </c>
      <c r="R113" s="42"/>
      <c r="S113" s="42"/>
      <c r="T113" s="43"/>
      <c r="U113" s="2"/>
      <c r="V113" s="2"/>
    </row>
    <row r="114" spans="1:22" x14ac:dyDescent="0.3">
      <c r="A114" s="2"/>
      <c r="B114" s="177" t="s">
        <v>1098</v>
      </c>
      <c r="C114" s="178"/>
      <c r="D114" s="86" t="s">
        <v>46</v>
      </c>
      <c r="E114" s="75">
        <v>1</v>
      </c>
      <c r="F114" s="75">
        <v>2</v>
      </c>
      <c r="G114" s="75">
        <v>3</v>
      </c>
      <c r="H114" s="75">
        <v>4</v>
      </c>
      <c r="I114" s="75">
        <v>5</v>
      </c>
      <c r="J114" s="75">
        <v>6</v>
      </c>
      <c r="K114" s="75">
        <v>7</v>
      </c>
      <c r="L114" s="75">
        <v>8</v>
      </c>
      <c r="M114" s="75">
        <v>9</v>
      </c>
      <c r="N114" s="75">
        <v>10</v>
      </c>
      <c r="O114" s="75">
        <v>11</v>
      </c>
      <c r="P114" s="75">
        <v>12</v>
      </c>
      <c r="Q114" s="77">
        <v>13</v>
      </c>
      <c r="R114" s="44"/>
      <c r="S114" s="44"/>
      <c r="T114" s="45"/>
      <c r="U114" s="2"/>
      <c r="V114" s="2"/>
    </row>
    <row r="115" spans="1:22" x14ac:dyDescent="0.3">
      <c r="A115" s="2"/>
      <c r="B115" s="179"/>
      <c r="C115" s="180"/>
      <c r="D115" s="84" t="s">
        <v>47</v>
      </c>
      <c r="E115" s="76" t="s">
        <v>87</v>
      </c>
      <c r="F115" s="76" t="s">
        <v>396</v>
      </c>
      <c r="G115" s="76" t="s">
        <v>87</v>
      </c>
      <c r="H115" s="76" t="s">
        <v>309</v>
      </c>
      <c r="I115" s="76" t="s">
        <v>87</v>
      </c>
      <c r="J115" s="76" t="s">
        <v>309</v>
      </c>
      <c r="K115" s="76" t="s">
        <v>260</v>
      </c>
      <c r="L115" s="76" t="s">
        <v>397</v>
      </c>
      <c r="M115" s="76" t="s">
        <v>398</v>
      </c>
      <c r="N115" s="76" t="s">
        <v>397</v>
      </c>
      <c r="O115" s="76" t="s">
        <v>399</v>
      </c>
      <c r="P115" s="76" t="s">
        <v>209</v>
      </c>
      <c r="Q115" s="78" t="s">
        <v>143</v>
      </c>
      <c r="R115" s="46"/>
      <c r="S115" s="46"/>
      <c r="T115" s="47"/>
      <c r="U115" s="2"/>
      <c r="V115" s="2"/>
    </row>
    <row r="116" spans="1:22" x14ac:dyDescent="0.3">
      <c r="A116" s="2"/>
      <c r="B116" s="2"/>
      <c r="C116" s="2"/>
      <c r="D116" s="2"/>
      <c r="E116" s="2"/>
      <c r="F116" s="2"/>
      <c r="G116" s="2"/>
      <c r="H116" s="2"/>
      <c r="I116" s="2"/>
      <c r="J116" s="2"/>
      <c r="K116" s="2"/>
      <c r="L116" s="2"/>
      <c r="M116" s="2"/>
      <c r="N116" s="2"/>
      <c r="O116" s="2"/>
      <c r="P116" s="2"/>
      <c r="Q116" s="2"/>
      <c r="R116" s="2"/>
      <c r="S116" s="2"/>
      <c r="T116" s="2"/>
      <c r="U116" s="2"/>
      <c r="V116" s="2"/>
    </row>
    <row r="117" spans="1:22" x14ac:dyDescent="0.3">
      <c r="A117" s="2"/>
      <c r="B117" s="2"/>
      <c r="C117" s="2"/>
      <c r="D117" s="2"/>
      <c r="E117" s="2"/>
      <c r="F117" s="2"/>
      <c r="G117" s="2"/>
      <c r="H117" s="2"/>
      <c r="I117" s="2"/>
      <c r="J117" s="2"/>
      <c r="K117" s="2"/>
      <c r="L117" s="2"/>
      <c r="M117" s="2"/>
      <c r="N117" s="2"/>
      <c r="O117" s="2"/>
      <c r="P117" s="2"/>
      <c r="Q117" s="2"/>
      <c r="R117" s="2"/>
      <c r="S117" s="2"/>
      <c r="T117" s="2"/>
      <c r="U117" s="2"/>
      <c r="V117" s="2"/>
    </row>
    <row r="118" spans="1:22" x14ac:dyDescent="0.3">
      <c r="A118" s="2"/>
      <c r="B118" s="181" t="s">
        <v>404</v>
      </c>
      <c r="C118" s="182"/>
      <c r="D118" s="182"/>
      <c r="E118" s="182"/>
      <c r="F118" s="182"/>
      <c r="G118" s="182"/>
      <c r="H118" s="182"/>
      <c r="I118" s="182"/>
      <c r="J118" s="182"/>
      <c r="K118" s="183"/>
      <c r="L118" s="40"/>
      <c r="M118" s="40"/>
      <c r="N118" s="181" t="s">
        <v>416</v>
      </c>
      <c r="O118" s="182"/>
      <c r="P118" s="182"/>
      <c r="Q118" s="182"/>
      <c r="R118" s="182"/>
      <c r="S118" s="182"/>
      <c r="T118" s="183"/>
      <c r="U118" s="2"/>
      <c r="V118" s="2"/>
    </row>
    <row r="119" spans="1:22" x14ac:dyDescent="0.3">
      <c r="A119" s="2"/>
      <c r="B119" s="184"/>
      <c r="C119" s="185"/>
      <c r="D119" s="185"/>
      <c r="E119" s="185"/>
      <c r="F119" s="185"/>
      <c r="G119" s="185"/>
      <c r="H119" s="185"/>
      <c r="I119" s="185"/>
      <c r="J119" s="185"/>
      <c r="K119" s="186"/>
      <c r="L119" s="40"/>
      <c r="M119" s="40"/>
      <c r="N119" s="184"/>
      <c r="O119" s="185"/>
      <c r="P119" s="185"/>
      <c r="Q119" s="185"/>
      <c r="R119" s="185"/>
      <c r="S119" s="185"/>
      <c r="T119" s="186"/>
      <c r="U119" s="2"/>
      <c r="V119" s="2"/>
    </row>
    <row r="120" spans="1:22" x14ac:dyDescent="0.3">
      <c r="A120" s="2"/>
      <c r="B120" s="184"/>
      <c r="C120" s="185"/>
      <c r="D120" s="185"/>
      <c r="E120" s="185"/>
      <c r="F120" s="185"/>
      <c r="G120" s="185"/>
      <c r="H120" s="185"/>
      <c r="I120" s="185"/>
      <c r="J120" s="185"/>
      <c r="K120" s="186"/>
      <c r="L120" s="40"/>
      <c r="M120" s="40"/>
      <c r="N120" s="187"/>
      <c r="O120" s="188"/>
      <c r="P120" s="188"/>
      <c r="Q120" s="188"/>
      <c r="R120" s="188"/>
      <c r="S120" s="188"/>
      <c r="T120" s="189"/>
      <c r="U120" s="2"/>
      <c r="V120" s="2"/>
    </row>
    <row r="121" spans="1:22" x14ac:dyDescent="0.3">
      <c r="A121" s="2"/>
      <c r="B121" s="70"/>
      <c r="C121" s="70"/>
      <c r="D121" s="70"/>
      <c r="E121" s="70"/>
      <c r="F121" s="70"/>
      <c r="G121" s="70"/>
      <c r="H121" s="70"/>
      <c r="I121" s="70"/>
      <c r="J121" s="70"/>
      <c r="K121" s="70"/>
      <c r="L121" s="40"/>
      <c r="M121" s="40"/>
      <c r="N121" s="70"/>
      <c r="O121" s="70"/>
      <c r="P121" s="70"/>
      <c r="Q121" s="70"/>
      <c r="R121" s="70"/>
      <c r="S121" s="70"/>
      <c r="T121" s="70"/>
      <c r="U121" s="2"/>
      <c r="V121" s="2"/>
    </row>
    <row r="122" spans="1:22" x14ac:dyDescent="0.3">
      <c r="A122" s="2"/>
      <c r="B122" s="68"/>
      <c r="C122" s="68"/>
      <c r="D122" s="68"/>
      <c r="E122" s="68"/>
      <c r="F122" s="68"/>
      <c r="G122" s="68"/>
      <c r="H122" s="68"/>
      <c r="I122" s="68"/>
      <c r="J122" s="68"/>
      <c r="K122" s="68"/>
      <c r="L122" s="40"/>
      <c r="M122" s="40"/>
      <c r="N122" s="68"/>
      <c r="O122" s="68"/>
      <c r="P122" s="68"/>
      <c r="Q122" s="68"/>
      <c r="R122" s="68"/>
      <c r="S122" s="68"/>
      <c r="T122" s="68"/>
      <c r="U122" s="2"/>
      <c r="V122" s="2"/>
    </row>
    <row r="123" spans="1:22" ht="91.8" customHeight="1" x14ac:dyDescent="0.3">
      <c r="A123" s="2"/>
      <c r="B123" s="49" t="s">
        <v>408</v>
      </c>
      <c r="C123" s="49" t="s">
        <v>400</v>
      </c>
      <c r="D123" s="48" t="s">
        <v>406</v>
      </c>
      <c r="E123" s="48" t="s">
        <v>402</v>
      </c>
      <c r="F123" s="48" t="s">
        <v>403</v>
      </c>
      <c r="G123" s="48" t="s">
        <v>407</v>
      </c>
      <c r="H123" s="48" t="s">
        <v>401</v>
      </c>
      <c r="I123" s="48" t="s">
        <v>405</v>
      </c>
      <c r="J123" s="48" t="s">
        <v>409</v>
      </c>
      <c r="K123" s="48" t="s">
        <v>412</v>
      </c>
      <c r="L123" s="41"/>
      <c r="M123" s="2"/>
      <c r="N123" s="87" t="s">
        <v>408</v>
      </c>
      <c r="O123" s="51" t="s">
        <v>411</v>
      </c>
      <c r="P123" s="87" t="s">
        <v>408</v>
      </c>
      <c r="Q123" s="51" t="s">
        <v>423</v>
      </c>
      <c r="R123" s="109" t="s">
        <v>408</v>
      </c>
      <c r="S123" s="88" t="s">
        <v>417</v>
      </c>
      <c r="T123" s="88" t="s">
        <v>418</v>
      </c>
      <c r="U123" s="2"/>
      <c r="V123" s="2"/>
    </row>
    <row r="124" spans="1:22" x14ac:dyDescent="0.3">
      <c r="A124" s="2"/>
      <c r="B124" s="39" t="s">
        <v>62</v>
      </c>
      <c r="C124" s="37">
        <v>9</v>
      </c>
      <c r="D124" s="37">
        <v>15</v>
      </c>
      <c r="E124" s="37">
        <v>4</v>
      </c>
      <c r="F124" s="37">
        <v>5</v>
      </c>
      <c r="G124" s="37">
        <f t="shared" ref="G124:G167" si="0">$C124-($E124+$F124)</f>
        <v>0</v>
      </c>
      <c r="H124" s="37">
        <v>5</v>
      </c>
      <c r="I124" s="38">
        <f t="shared" ref="I124:I167" si="1">($H124+$G124)/$C124</f>
        <v>0.55555555555555558</v>
      </c>
      <c r="J124" s="37">
        <f>_xlfn.RANK.EQ($I124,$I$124:$I$167,0)</f>
        <v>44</v>
      </c>
      <c r="K124" s="52" t="s">
        <v>413</v>
      </c>
      <c r="L124" s="2"/>
      <c r="M124" s="2"/>
      <c r="N124" s="50" t="s">
        <v>62</v>
      </c>
      <c r="O124" s="50">
        <v>0.55555555555555558</v>
      </c>
      <c r="P124" s="50" t="s">
        <v>61</v>
      </c>
      <c r="Q124" s="50">
        <v>1</v>
      </c>
      <c r="R124" s="53" t="s">
        <v>76</v>
      </c>
      <c r="S124" s="50">
        <v>2</v>
      </c>
      <c r="T124" s="50">
        <v>10</v>
      </c>
      <c r="U124" s="2"/>
      <c r="V124" s="2"/>
    </row>
    <row r="125" spans="1:22" x14ac:dyDescent="0.3">
      <c r="A125" s="2"/>
      <c r="B125" s="39" t="s">
        <v>65</v>
      </c>
      <c r="C125" s="37">
        <v>10</v>
      </c>
      <c r="D125" s="37">
        <v>15</v>
      </c>
      <c r="E125" s="37">
        <v>4</v>
      </c>
      <c r="F125" s="37">
        <v>6</v>
      </c>
      <c r="G125" s="37">
        <f t="shared" si="0"/>
        <v>0</v>
      </c>
      <c r="H125" s="37">
        <v>6</v>
      </c>
      <c r="I125" s="38">
        <f t="shared" si="1"/>
        <v>0.6</v>
      </c>
      <c r="J125" s="37">
        <f t="shared" ref="J125:J167" si="2">_xlfn.RANK.EQ($I125,$I$124:$I$167,0)</f>
        <v>43</v>
      </c>
      <c r="K125" s="52" t="s">
        <v>413</v>
      </c>
      <c r="L125" s="2"/>
      <c r="M125" s="2"/>
      <c r="N125" s="50" t="s">
        <v>65</v>
      </c>
      <c r="O125" s="50">
        <v>0.6</v>
      </c>
      <c r="P125" s="50" t="s">
        <v>64</v>
      </c>
      <c r="Q125" s="50">
        <v>1</v>
      </c>
      <c r="R125" s="53" t="s">
        <v>57</v>
      </c>
      <c r="S125" s="50">
        <v>1</v>
      </c>
      <c r="T125" s="50">
        <v>7</v>
      </c>
      <c r="U125" s="2"/>
      <c r="V125" s="2"/>
    </row>
    <row r="126" spans="1:22" x14ac:dyDescent="0.3">
      <c r="A126" s="2"/>
      <c r="B126" s="39" t="s">
        <v>50</v>
      </c>
      <c r="C126" s="37">
        <v>12</v>
      </c>
      <c r="D126" s="37">
        <v>14</v>
      </c>
      <c r="E126" s="37">
        <v>3</v>
      </c>
      <c r="F126" s="37">
        <v>8</v>
      </c>
      <c r="G126" s="37">
        <f t="shared" si="0"/>
        <v>1</v>
      </c>
      <c r="H126" s="37">
        <v>7</v>
      </c>
      <c r="I126" s="38">
        <f t="shared" si="1"/>
        <v>0.66666666666666663</v>
      </c>
      <c r="J126" s="37">
        <f t="shared" si="2"/>
        <v>41</v>
      </c>
      <c r="K126" s="52" t="s">
        <v>414</v>
      </c>
      <c r="L126" s="2"/>
      <c r="M126" s="2"/>
      <c r="N126" s="50" t="s">
        <v>75</v>
      </c>
      <c r="O126" s="50">
        <v>0.66666666666666663</v>
      </c>
      <c r="P126" s="50" t="s">
        <v>51</v>
      </c>
      <c r="Q126" s="50">
        <v>1</v>
      </c>
      <c r="R126" s="53" t="s">
        <v>78</v>
      </c>
      <c r="S126" s="50">
        <v>3</v>
      </c>
      <c r="T126" s="50">
        <v>6</v>
      </c>
      <c r="U126" s="2"/>
      <c r="V126" s="2"/>
    </row>
    <row r="127" spans="1:22" x14ac:dyDescent="0.3">
      <c r="A127" s="2"/>
      <c r="B127" s="39" t="s">
        <v>75</v>
      </c>
      <c r="C127" s="37">
        <v>6</v>
      </c>
      <c r="D127" s="37">
        <v>12</v>
      </c>
      <c r="E127" s="37">
        <v>1</v>
      </c>
      <c r="F127" s="37">
        <v>5</v>
      </c>
      <c r="G127" s="37">
        <f t="shared" si="0"/>
        <v>0</v>
      </c>
      <c r="H127" s="37">
        <v>4</v>
      </c>
      <c r="I127" s="38">
        <f t="shared" si="1"/>
        <v>0.66666666666666663</v>
      </c>
      <c r="J127" s="37">
        <f t="shared" si="2"/>
        <v>41</v>
      </c>
      <c r="K127" s="52" t="s">
        <v>414</v>
      </c>
      <c r="L127" s="2"/>
      <c r="M127" s="2"/>
      <c r="N127" s="50" t="s">
        <v>50</v>
      </c>
      <c r="O127" s="50">
        <v>0.66666666666666663</v>
      </c>
      <c r="P127" s="50" t="s">
        <v>421</v>
      </c>
      <c r="Q127" s="50">
        <v>1</v>
      </c>
      <c r="R127" s="53" t="s">
        <v>62</v>
      </c>
      <c r="S127" s="50">
        <v>4</v>
      </c>
      <c r="T127" s="50">
        <v>5</v>
      </c>
      <c r="U127" s="2"/>
      <c r="V127" s="2"/>
    </row>
    <row r="128" spans="1:22" x14ac:dyDescent="0.3">
      <c r="A128" s="2"/>
      <c r="B128" s="39" t="s">
        <v>1098</v>
      </c>
      <c r="C128" s="37">
        <v>10</v>
      </c>
      <c r="D128" s="37">
        <v>12</v>
      </c>
      <c r="E128" s="37">
        <v>1</v>
      </c>
      <c r="F128" s="37">
        <v>9</v>
      </c>
      <c r="G128" s="37">
        <f t="shared" si="0"/>
        <v>0</v>
      </c>
      <c r="H128" s="37">
        <v>7</v>
      </c>
      <c r="I128" s="38">
        <f t="shared" si="1"/>
        <v>0.7</v>
      </c>
      <c r="J128" s="37">
        <f t="shared" si="2"/>
        <v>40</v>
      </c>
      <c r="K128" s="52" t="s">
        <v>413</v>
      </c>
      <c r="L128" s="2"/>
      <c r="M128" s="2"/>
      <c r="N128" s="50" t="s">
        <v>1098</v>
      </c>
      <c r="O128" s="50">
        <v>0.7</v>
      </c>
      <c r="P128" s="50" t="s">
        <v>49</v>
      </c>
      <c r="Q128" s="50">
        <v>1</v>
      </c>
      <c r="R128" s="53" t="s">
        <v>51</v>
      </c>
      <c r="S128" s="50">
        <v>0</v>
      </c>
      <c r="T128" s="50">
        <v>9</v>
      </c>
      <c r="U128" s="2"/>
      <c r="V128" s="2"/>
    </row>
    <row r="129" spans="1:22" x14ac:dyDescent="0.3">
      <c r="A129" s="2"/>
      <c r="B129" s="39" t="s">
        <v>69</v>
      </c>
      <c r="C129" s="37">
        <v>12</v>
      </c>
      <c r="D129" s="37">
        <v>15</v>
      </c>
      <c r="E129" s="37">
        <v>3.5</v>
      </c>
      <c r="F129" s="37">
        <v>8.5</v>
      </c>
      <c r="G129" s="37">
        <f t="shared" si="0"/>
        <v>0</v>
      </c>
      <c r="H129" s="37">
        <v>8.5</v>
      </c>
      <c r="I129" s="38">
        <f t="shared" si="1"/>
        <v>0.70833333333333337</v>
      </c>
      <c r="J129" s="37">
        <f t="shared" si="2"/>
        <v>39</v>
      </c>
      <c r="K129" s="52" t="s">
        <v>413</v>
      </c>
      <c r="L129" s="2"/>
      <c r="M129" s="2"/>
      <c r="N129" s="50" t="s">
        <v>69</v>
      </c>
      <c r="O129" s="50">
        <v>0.70833333333333337</v>
      </c>
      <c r="P129" s="50" t="s">
        <v>818</v>
      </c>
      <c r="Q129" s="50">
        <v>1</v>
      </c>
      <c r="R129" s="53" t="s">
        <v>54</v>
      </c>
      <c r="S129" s="50">
        <v>2</v>
      </c>
      <c r="T129" s="50">
        <v>10</v>
      </c>
      <c r="U129" s="2"/>
      <c r="V129" s="2"/>
    </row>
    <row r="130" spans="1:22" x14ac:dyDescent="0.3">
      <c r="A130" s="2"/>
      <c r="B130" s="39" t="s">
        <v>74</v>
      </c>
      <c r="C130" s="37">
        <v>11</v>
      </c>
      <c r="D130" s="37">
        <v>16</v>
      </c>
      <c r="E130" s="37">
        <v>3</v>
      </c>
      <c r="F130" s="37">
        <v>8</v>
      </c>
      <c r="G130" s="37">
        <f t="shared" si="0"/>
        <v>0</v>
      </c>
      <c r="H130" s="37">
        <v>8</v>
      </c>
      <c r="I130" s="38">
        <f t="shared" si="1"/>
        <v>0.72727272727272729</v>
      </c>
      <c r="J130" s="37">
        <f t="shared" si="2"/>
        <v>38</v>
      </c>
      <c r="K130" s="52" t="s">
        <v>413</v>
      </c>
      <c r="L130" s="2"/>
      <c r="M130" s="2"/>
      <c r="N130" s="50" t="s">
        <v>74</v>
      </c>
      <c r="O130" s="50">
        <v>0.72727272727272729</v>
      </c>
      <c r="P130" s="50" t="s">
        <v>48</v>
      </c>
      <c r="Q130" s="50">
        <v>1</v>
      </c>
      <c r="R130" s="53" t="s">
        <v>81</v>
      </c>
      <c r="S130" s="50">
        <v>3</v>
      </c>
      <c r="T130" s="50">
        <v>2</v>
      </c>
      <c r="U130" s="2"/>
      <c r="V130" s="2"/>
    </row>
    <row r="131" spans="1:22" x14ac:dyDescent="0.3">
      <c r="A131" s="2"/>
      <c r="B131" s="39" t="s">
        <v>53</v>
      </c>
      <c r="C131" s="37">
        <v>12</v>
      </c>
      <c r="D131" s="37">
        <v>17</v>
      </c>
      <c r="E131" s="37">
        <v>3</v>
      </c>
      <c r="F131" s="37">
        <v>9</v>
      </c>
      <c r="G131" s="37">
        <f t="shared" si="0"/>
        <v>0</v>
      </c>
      <c r="H131" s="37">
        <v>9</v>
      </c>
      <c r="I131" s="38">
        <f t="shared" si="1"/>
        <v>0.75</v>
      </c>
      <c r="J131" s="37">
        <f t="shared" si="2"/>
        <v>35</v>
      </c>
      <c r="K131" s="52" t="s">
        <v>414</v>
      </c>
      <c r="L131" s="2"/>
      <c r="M131" s="2"/>
      <c r="N131" s="50" t="s">
        <v>80</v>
      </c>
      <c r="O131" s="50">
        <v>0.75</v>
      </c>
      <c r="P131" s="50" t="s">
        <v>58</v>
      </c>
      <c r="Q131" s="50">
        <v>1</v>
      </c>
      <c r="R131" s="53" t="s">
        <v>56</v>
      </c>
      <c r="S131" s="50">
        <v>2</v>
      </c>
      <c r="T131" s="50">
        <v>10</v>
      </c>
      <c r="U131" s="2"/>
      <c r="V131" s="2"/>
    </row>
    <row r="132" spans="1:22" ht="13.8" customHeight="1" x14ac:dyDescent="0.3">
      <c r="A132" s="2"/>
      <c r="B132" s="39" t="s">
        <v>80</v>
      </c>
      <c r="C132" s="37">
        <v>12</v>
      </c>
      <c r="D132" s="37">
        <v>14</v>
      </c>
      <c r="E132" s="37">
        <v>3</v>
      </c>
      <c r="F132" s="37">
        <v>9</v>
      </c>
      <c r="G132" s="37">
        <f t="shared" si="0"/>
        <v>0</v>
      </c>
      <c r="H132" s="37">
        <v>9</v>
      </c>
      <c r="I132" s="38">
        <f t="shared" si="1"/>
        <v>0.75</v>
      </c>
      <c r="J132" s="37">
        <f t="shared" si="2"/>
        <v>35</v>
      </c>
      <c r="K132" s="52" t="s">
        <v>413</v>
      </c>
      <c r="L132" s="2"/>
      <c r="M132" s="2"/>
      <c r="N132" s="50" t="s">
        <v>71</v>
      </c>
      <c r="O132" s="50">
        <v>0.75</v>
      </c>
      <c r="P132" s="50" t="s">
        <v>60</v>
      </c>
      <c r="Q132" s="50">
        <v>1</v>
      </c>
      <c r="R132" s="53" t="s">
        <v>68</v>
      </c>
      <c r="S132" s="50">
        <v>1</v>
      </c>
      <c r="T132" s="50">
        <v>13</v>
      </c>
      <c r="U132" s="2"/>
      <c r="V132" s="2"/>
    </row>
    <row r="133" spans="1:22" ht="14.4" customHeight="1" x14ac:dyDescent="0.3">
      <c r="A133" s="2"/>
      <c r="B133" s="39" t="s">
        <v>71</v>
      </c>
      <c r="C133" s="37">
        <v>12</v>
      </c>
      <c r="D133" s="37">
        <v>18</v>
      </c>
      <c r="E133" s="37">
        <v>2</v>
      </c>
      <c r="F133" s="37">
        <v>10</v>
      </c>
      <c r="G133" s="37">
        <f t="shared" si="0"/>
        <v>0</v>
      </c>
      <c r="H133" s="37">
        <v>9</v>
      </c>
      <c r="I133" s="38">
        <f t="shared" si="1"/>
        <v>0.75</v>
      </c>
      <c r="J133" s="37">
        <f t="shared" si="2"/>
        <v>35</v>
      </c>
      <c r="K133" s="52" t="s">
        <v>413</v>
      </c>
      <c r="L133" s="2"/>
      <c r="M133" s="2"/>
      <c r="N133" s="50" t="s">
        <v>53</v>
      </c>
      <c r="O133" s="50">
        <v>0.75</v>
      </c>
      <c r="P133" s="50" t="s">
        <v>83</v>
      </c>
      <c r="Q133" s="50">
        <v>10</v>
      </c>
      <c r="R133" s="53" t="s">
        <v>59</v>
      </c>
      <c r="S133" s="50">
        <v>2</v>
      </c>
      <c r="T133" s="50">
        <v>7</v>
      </c>
      <c r="U133" s="2"/>
      <c r="V133" s="2"/>
    </row>
    <row r="134" spans="1:22" x14ac:dyDescent="0.3">
      <c r="A134" s="2"/>
      <c r="B134" s="39" t="s">
        <v>57</v>
      </c>
      <c r="C134" s="37">
        <v>9</v>
      </c>
      <c r="D134" s="37">
        <v>13</v>
      </c>
      <c r="E134" s="37">
        <v>1</v>
      </c>
      <c r="F134" s="37">
        <v>7</v>
      </c>
      <c r="G134" s="37">
        <f t="shared" si="0"/>
        <v>1</v>
      </c>
      <c r="H134" s="37">
        <v>6</v>
      </c>
      <c r="I134" s="38">
        <f t="shared" si="1"/>
        <v>0.77777777777777779</v>
      </c>
      <c r="J134" s="37">
        <f t="shared" si="2"/>
        <v>31</v>
      </c>
      <c r="K134" s="52" t="s">
        <v>413</v>
      </c>
      <c r="L134" s="2"/>
      <c r="M134" s="2"/>
      <c r="N134" s="50" t="s">
        <v>72</v>
      </c>
      <c r="O134" s="50">
        <v>0.77777777777777779</v>
      </c>
      <c r="P134" s="50" t="s">
        <v>66</v>
      </c>
      <c r="Q134" s="50">
        <v>11</v>
      </c>
      <c r="R134" s="53" t="s">
        <v>83</v>
      </c>
      <c r="S134" s="50">
        <v>0</v>
      </c>
      <c r="T134" s="50">
        <v>7</v>
      </c>
      <c r="U134" s="2"/>
      <c r="V134" s="2"/>
    </row>
    <row r="135" spans="1:22" x14ac:dyDescent="0.3">
      <c r="A135" s="2"/>
      <c r="B135" s="39" t="s">
        <v>72</v>
      </c>
      <c r="C135" s="37">
        <v>9</v>
      </c>
      <c r="D135" s="37">
        <v>14</v>
      </c>
      <c r="E135" s="37">
        <v>3</v>
      </c>
      <c r="F135" s="37">
        <v>6</v>
      </c>
      <c r="G135" s="37">
        <f t="shared" si="0"/>
        <v>0</v>
      </c>
      <c r="H135" s="37">
        <v>7</v>
      </c>
      <c r="I135" s="38">
        <f t="shared" si="1"/>
        <v>0.77777777777777779</v>
      </c>
      <c r="J135" s="37">
        <f t="shared" si="2"/>
        <v>31</v>
      </c>
      <c r="K135" s="52" t="s">
        <v>414</v>
      </c>
      <c r="L135" s="2"/>
      <c r="M135" s="2"/>
      <c r="N135" s="50" t="s">
        <v>78</v>
      </c>
      <c r="O135" s="50">
        <v>0.77777777777777779</v>
      </c>
      <c r="P135" s="50" t="s">
        <v>45</v>
      </c>
      <c r="Q135" s="50">
        <v>12</v>
      </c>
      <c r="R135" s="53" t="s">
        <v>49</v>
      </c>
      <c r="S135" s="50">
        <v>0</v>
      </c>
      <c r="T135" s="50">
        <v>10</v>
      </c>
      <c r="U135" s="2"/>
      <c r="V135" s="2"/>
    </row>
    <row r="136" spans="1:22" x14ac:dyDescent="0.3">
      <c r="A136" s="2"/>
      <c r="B136" s="39" t="s">
        <v>78</v>
      </c>
      <c r="C136" s="37">
        <v>9</v>
      </c>
      <c r="D136" s="37">
        <v>14</v>
      </c>
      <c r="E136" s="37">
        <v>3</v>
      </c>
      <c r="F136" s="37">
        <v>6</v>
      </c>
      <c r="G136" s="37">
        <f t="shared" si="0"/>
        <v>0</v>
      </c>
      <c r="H136" s="37">
        <v>7</v>
      </c>
      <c r="I136" s="38">
        <f t="shared" si="1"/>
        <v>0.77777777777777779</v>
      </c>
      <c r="J136" s="37">
        <f t="shared" si="2"/>
        <v>31</v>
      </c>
      <c r="K136" s="52" t="s">
        <v>413</v>
      </c>
      <c r="L136" s="2"/>
      <c r="M136" s="2"/>
      <c r="N136" s="50" t="s">
        <v>57</v>
      </c>
      <c r="O136" s="50">
        <v>0.77777777777777779</v>
      </c>
      <c r="P136" s="50" t="s">
        <v>70</v>
      </c>
      <c r="Q136" s="50">
        <v>12</v>
      </c>
      <c r="R136" s="53" t="s">
        <v>63</v>
      </c>
      <c r="S136" s="50">
        <v>2</v>
      </c>
      <c r="T136" s="50">
        <v>9</v>
      </c>
      <c r="U136" s="2"/>
      <c r="V136" s="2"/>
    </row>
    <row r="137" spans="1:22" x14ac:dyDescent="0.3">
      <c r="A137" s="2"/>
      <c r="B137" s="39" t="s">
        <v>79</v>
      </c>
      <c r="C137" s="37">
        <v>9</v>
      </c>
      <c r="D137" s="37">
        <v>16</v>
      </c>
      <c r="E137" s="37">
        <v>1</v>
      </c>
      <c r="F137" s="37">
        <v>8</v>
      </c>
      <c r="G137" s="37">
        <f t="shared" si="0"/>
        <v>0</v>
      </c>
      <c r="H137" s="37">
        <v>7</v>
      </c>
      <c r="I137" s="38">
        <f t="shared" si="1"/>
        <v>0.77777777777777779</v>
      </c>
      <c r="J137" s="37">
        <f t="shared" si="2"/>
        <v>31</v>
      </c>
      <c r="K137" s="52" t="s">
        <v>413</v>
      </c>
      <c r="L137" s="2"/>
      <c r="M137" s="2"/>
      <c r="N137" s="50" t="s">
        <v>79</v>
      </c>
      <c r="O137" s="50">
        <v>0.77777777777777779</v>
      </c>
      <c r="P137" s="50" t="s">
        <v>817</v>
      </c>
      <c r="Q137" s="50">
        <v>14</v>
      </c>
      <c r="R137" s="53" t="s">
        <v>52</v>
      </c>
      <c r="S137" s="50">
        <v>2</v>
      </c>
      <c r="T137" s="50">
        <v>9</v>
      </c>
      <c r="U137" s="2"/>
      <c r="V137" s="2"/>
    </row>
    <row r="138" spans="1:22" x14ac:dyDescent="0.3">
      <c r="A138" s="2"/>
      <c r="B138" s="39" t="s">
        <v>68</v>
      </c>
      <c r="C138" s="37">
        <v>14</v>
      </c>
      <c r="D138" s="37">
        <v>14</v>
      </c>
      <c r="E138" s="37">
        <v>1</v>
      </c>
      <c r="F138" s="37">
        <v>13</v>
      </c>
      <c r="G138" s="37">
        <f t="shared" si="0"/>
        <v>0</v>
      </c>
      <c r="H138" s="37">
        <v>11</v>
      </c>
      <c r="I138" s="38">
        <f t="shared" si="1"/>
        <v>0.7857142857142857</v>
      </c>
      <c r="J138" s="37">
        <f t="shared" si="2"/>
        <v>30</v>
      </c>
      <c r="K138" s="52" t="s">
        <v>414</v>
      </c>
      <c r="L138" s="2"/>
      <c r="M138" s="2"/>
      <c r="N138" s="50" t="s">
        <v>68</v>
      </c>
      <c r="O138" s="50">
        <v>0.7857142857142857</v>
      </c>
      <c r="P138" s="50" t="s">
        <v>82</v>
      </c>
      <c r="Q138" s="50">
        <v>15</v>
      </c>
      <c r="R138" s="53" t="s">
        <v>74</v>
      </c>
      <c r="S138" s="50">
        <v>3</v>
      </c>
      <c r="T138" s="50">
        <v>8</v>
      </c>
      <c r="U138" s="2"/>
      <c r="V138" s="2"/>
    </row>
    <row r="139" spans="1:22" x14ac:dyDescent="0.3">
      <c r="A139" s="2"/>
      <c r="B139" s="39" t="s">
        <v>81</v>
      </c>
      <c r="C139" s="37">
        <v>5</v>
      </c>
      <c r="D139" s="37">
        <v>16</v>
      </c>
      <c r="E139" s="37">
        <v>3</v>
      </c>
      <c r="F139" s="37">
        <v>2</v>
      </c>
      <c r="G139" s="37">
        <f t="shared" si="0"/>
        <v>0</v>
      </c>
      <c r="H139" s="37">
        <v>4</v>
      </c>
      <c r="I139" s="38">
        <f t="shared" si="1"/>
        <v>0.8</v>
      </c>
      <c r="J139" s="37">
        <f t="shared" si="2"/>
        <v>29</v>
      </c>
      <c r="K139" s="52" t="s">
        <v>413</v>
      </c>
      <c r="L139" s="2"/>
      <c r="M139" s="2"/>
      <c r="N139" s="50" t="s">
        <v>81</v>
      </c>
      <c r="O139" s="50">
        <v>0.8</v>
      </c>
      <c r="P139" s="50" t="s">
        <v>85</v>
      </c>
      <c r="Q139" s="50">
        <v>15</v>
      </c>
      <c r="R139" s="53" t="s">
        <v>69</v>
      </c>
      <c r="S139" s="50">
        <v>3.5</v>
      </c>
      <c r="T139" s="50">
        <v>8.5</v>
      </c>
      <c r="U139" s="2"/>
      <c r="V139" s="2"/>
    </row>
    <row r="140" spans="1:22" x14ac:dyDescent="0.3">
      <c r="A140" s="2"/>
      <c r="B140" s="39" t="s">
        <v>52</v>
      </c>
      <c r="C140" s="37">
        <v>11</v>
      </c>
      <c r="D140" s="37">
        <v>14</v>
      </c>
      <c r="E140" s="37">
        <v>2</v>
      </c>
      <c r="F140" s="37">
        <v>9</v>
      </c>
      <c r="G140" s="37">
        <f t="shared" si="0"/>
        <v>0</v>
      </c>
      <c r="H140" s="37">
        <v>9</v>
      </c>
      <c r="I140" s="38">
        <f t="shared" si="1"/>
        <v>0.81818181818181823</v>
      </c>
      <c r="J140" s="37">
        <f t="shared" si="2"/>
        <v>26</v>
      </c>
      <c r="K140" s="52" t="s">
        <v>414</v>
      </c>
      <c r="L140" s="2"/>
      <c r="M140" s="2"/>
      <c r="N140" s="50" t="s">
        <v>63</v>
      </c>
      <c r="O140" s="50">
        <v>0.81818181818181823</v>
      </c>
      <c r="P140" s="50" t="s">
        <v>59</v>
      </c>
      <c r="Q140" s="50">
        <v>15</v>
      </c>
      <c r="R140" s="53" t="s">
        <v>65</v>
      </c>
      <c r="S140" s="50">
        <v>4</v>
      </c>
      <c r="T140" s="50">
        <v>6</v>
      </c>
      <c r="U140" s="2"/>
      <c r="V140" s="2"/>
    </row>
    <row r="141" spans="1:22" x14ac:dyDescent="0.3">
      <c r="A141" s="2"/>
      <c r="B141" s="39" t="s">
        <v>63</v>
      </c>
      <c r="C141" s="37">
        <v>11</v>
      </c>
      <c r="D141" s="37">
        <v>13</v>
      </c>
      <c r="E141" s="37">
        <v>2</v>
      </c>
      <c r="F141" s="37">
        <v>9</v>
      </c>
      <c r="G141" s="37">
        <f t="shared" si="0"/>
        <v>0</v>
      </c>
      <c r="H141" s="37">
        <v>9</v>
      </c>
      <c r="I141" s="38">
        <f t="shared" si="1"/>
        <v>0.81818181818181823</v>
      </c>
      <c r="J141" s="37">
        <f t="shared" si="2"/>
        <v>26</v>
      </c>
      <c r="K141" s="52" t="s">
        <v>413</v>
      </c>
      <c r="L141" s="2"/>
      <c r="M141" s="2"/>
      <c r="N141" s="50" t="s">
        <v>52</v>
      </c>
      <c r="O141" s="50">
        <v>0.81818181818181823</v>
      </c>
      <c r="P141" s="50" t="s">
        <v>84</v>
      </c>
      <c r="Q141" s="50">
        <v>18</v>
      </c>
      <c r="R141" s="53" t="s">
        <v>84</v>
      </c>
      <c r="S141" s="50">
        <v>1</v>
      </c>
      <c r="T141" s="50">
        <v>7</v>
      </c>
      <c r="U141" s="2"/>
      <c r="V141" s="2"/>
    </row>
    <row r="142" spans="1:22" x14ac:dyDescent="0.3">
      <c r="A142" s="2"/>
      <c r="B142" s="39" t="s">
        <v>73</v>
      </c>
      <c r="C142" s="37">
        <v>11</v>
      </c>
      <c r="D142" s="37">
        <v>15</v>
      </c>
      <c r="E142" s="37">
        <v>3</v>
      </c>
      <c r="F142" s="37">
        <v>8</v>
      </c>
      <c r="G142" s="37">
        <f t="shared" si="0"/>
        <v>0</v>
      </c>
      <c r="H142" s="37">
        <v>9</v>
      </c>
      <c r="I142" s="38">
        <f t="shared" si="1"/>
        <v>0.81818181818181823</v>
      </c>
      <c r="J142" s="37">
        <f t="shared" si="2"/>
        <v>26</v>
      </c>
      <c r="K142" s="52" t="s">
        <v>413</v>
      </c>
      <c r="L142" s="2"/>
      <c r="M142" s="2"/>
      <c r="N142" s="50" t="s">
        <v>73</v>
      </c>
      <c r="O142" s="50">
        <v>0.81818181818181823</v>
      </c>
      <c r="P142" s="50" t="s">
        <v>55</v>
      </c>
      <c r="Q142" s="50">
        <v>19</v>
      </c>
      <c r="R142" s="53" t="s">
        <v>75</v>
      </c>
      <c r="S142" s="50">
        <v>1</v>
      </c>
      <c r="T142" s="50">
        <v>5</v>
      </c>
      <c r="U142" s="2"/>
      <c r="V142" s="2"/>
    </row>
    <row r="143" spans="1:22" x14ac:dyDescent="0.3">
      <c r="A143" s="2"/>
      <c r="B143" s="39" t="s">
        <v>426</v>
      </c>
      <c r="C143" s="37">
        <v>12</v>
      </c>
      <c r="D143" s="37">
        <v>15</v>
      </c>
      <c r="E143" s="37">
        <v>2</v>
      </c>
      <c r="F143" s="37">
        <v>9</v>
      </c>
      <c r="G143" s="37">
        <f t="shared" si="0"/>
        <v>1</v>
      </c>
      <c r="H143" s="37">
        <v>9</v>
      </c>
      <c r="I143" s="38">
        <f t="shared" si="1"/>
        <v>0.83333333333333337</v>
      </c>
      <c r="J143" s="37">
        <f t="shared" si="2"/>
        <v>21</v>
      </c>
      <c r="K143" s="52" t="s">
        <v>414</v>
      </c>
      <c r="L143" s="2"/>
      <c r="M143" s="2"/>
      <c r="N143" s="50" t="s">
        <v>56</v>
      </c>
      <c r="O143" s="50">
        <v>0.83333333333333337</v>
      </c>
      <c r="P143" s="50" t="s">
        <v>67</v>
      </c>
      <c r="Q143" s="50">
        <v>20</v>
      </c>
      <c r="R143" s="53" t="s">
        <v>85</v>
      </c>
      <c r="S143" s="50">
        <v>1</v>
      </c>
      <c r="T143" s="50">
        <v>8</v>
      </c>
      <c r="U143" s="2"/>
      <c r="V143" s="2"/>
    </row>
    <row r="144" spans="1:22" x14ac:dyDescent="0.3">
      <c r="A144" s="2"/>
      <c r="B144" s="39" t="s">
        <v>56</v>
      </c>
      <c r="C144" s="37">
        <v>12</v>
      </c>
      <c r="D144" s="37">
        <v>16</v>
      </c>
      <c r="E144" s="37">
        <v>2</v>
      </c>
      <c r="F144" s="37">
        <v>10</v>
      </c>
      <c r="G144" s="37">
        <f t="shared" si="0"/>
        <v>0</v>
      </c>
      <c r="H144" s="37">
        <v>10</v>
      </c>
      <c r="I144" s="38">
        <f t="shared" si="1"/>
        <v>0.83333333333333337</v>
      </c>
      <c r="J144" s="37">
        <f t="shared" si="2"/>
        <v>21</v>
      </c>
      <c r="K144" s="52" t="s">
        <v>414</v>
      </c>
      <c r="L144" s="2"/>
      <c r="M144" s="2"/>
      <c r="N144" s="50" t="s">
        <v>77</v>
      </c>
      <c r="O144" s="50">
        <v>0.83333333333333337</v>
      </c>
      <c r="P144" s="50" t="s">
        <v>76</v>
      </c>
      <c r="Q144" s="50">
        <v>21</v>
      </c>
      <c r="R144" s="53" t="s">
        <v>73</v>
      </c>
      <c r="S144" s="50">
        <v>3</v>
      </c>
      <c r="T144" s="50">
        <v>8</v>
      </c>
      <c r="U144" s="2"/>
      <c r="V144" s="2"/>
    </row>
    <row r="145" spans="1:22" x14ac:dyDescent="0.3">
      <c r="A145" s="2"/>
      <c r="B145" s="39" t="s">
        <v>77</v>
      </c>
      <c r="C145" s="37">
        <v>12</v>
      </c>
      <c r="D145" s="37">
        <v>17</v>
      </c>
      <c r="E145" s="37">
        <v>2</v>
      </c>
      <c r="F145" s="37">
        <v>10</v>
      </c>
      <c r="G145" s="37">
        <f t="shared" si="0"/>
        <v>0</v>
      </c>
      <c r="H145" s="37">
        <v>10</v>
      </c>
      <c r="I145" s="38">
        <f t="shared" si="1"/>
        <v>0.83333333333333337</v>
      </c>
      <c r="J145" s="37">
        <f t="shared" si="2"/>
        <v>21</v>
      </c>
      <c r="K145" s="52" t="s">
        <v>414</v>
      </c>
      <c r="L145" s="2"/>
      <c r="M145" s="2"/>
      <c r="N145" s="50" t="s">
        <v>426</v>
      </c>
      <c r="O145" s="50">
        <v>0.83333333333333337</v>
      </c>
      <c r="P145" s="50" t="s">
        <v>56</v>
      </c>
      <c r="Q145" s="50">
        <v>21</v>
      </c>
      <c r="R145" s="53" t="s">
        <v>72</v>
      </c>
      <c r="S145" s="50">
        <v>3</v>
      </c>
      <c r="T145" s="50">
        <v>6</v>
      </c>
      <c r="U145" s="2"/>
      <c r="V145" s="2"/>
    </row>
    <row r="146" spans="1:22" x14ac:dyDescent="0.3">
      <c r="A146" s="2"/>
      <c r="B146" s="39" t="s">
        <v>76</v>
      </c>
      <c r="C146" s="37">
        <v>12</v>
      </c>
      <c r="D146" s="37">
        <v>17</v>
      </c>
      <c r="E146" s="37">
        <v>2</v>
      </c>
      <c r="F146" s="37">
        <v>10</v>
      </c>
      <c r="G146" s="37">
        <f t="shared" si="0"/>
        <v>0</v>
      </c>
      <c r="H146" s="37">
        <v>10</v>
      </c>
      <c r="I146" s="38">
        <f t="shared" si="1"/>
        <v>0.83333333333333337</v>
      </c>
      <c r="J146" s="37">
        <f t="shared" si="2"/>
        <v>21</v>
      </c>
      <c r="K146" s="52" t="s">
        <v>413</v>
      </c>
      <c r="L146" s="2"/>
      <c r="M146" s="2"/>
      <c r="N146" s="50" t="s">
        <v>54</v>
      </c>
      <c r="O146" s="50">
        <v>0.83333333333333337</v>
      </c>
      <c r="P146" s="50" t="s">
        <v>426</v>
      </c>
      <c r="Q146" s="50">
        <v>21</v>
      </c>
      <c r="R146" s="53" t="s">
        <v>64</v>
      </c>
      <c r="S146" s="50">
        <v>1</v>
      </c>
      <c r="T146" s="50">
        <v>13</v>
      </c>
      <c r="U146" s="2"/>
      <c r="V146" s="2"/>
    </row>
    <row r="147" spans="1:22" x14ac:dyDescent="0.3">
      <c r="A147" s="2"/>
      <c r="B147" s="39" t="s">
        <v>54</v>
      </c>
      <c r="C147" s="37">
        <v>12</v>
      </c>
      <c r="D147" s="37">
        <v>16</v>
      </c>
      <c r="E147" s="37">
        <v>2</v>
      </c>
      <c r="F147" s="37">
        <v>10</v>
      </c>
      <c r="G147" s="37">
        <f t="shared" si="0"/>
        <v>0</v>
      </c>
      <c r="H147" s="37">
        <v>10</v>
      </c>
      <c r="I147" s="38">
        <f t="shared" si="1"/>
        <v>0.83333333333333337</v>
      </c>
      <c r="J147" s="37">
        <f t="shared" si="2"/>
        <v>21</v>
      </c>
      <c r="K147" s="52" t="s">
        <v>413</v>
      </c>
      <c r="L147" s="2"/>
      <c r="M147" s="2"/>
      <c r="N147" s="50" t="s">
        <v>76</v>
      </c>
      <c r="O147" s="50">
        <v>0.83333333333333337</v>
      </c>
      <c r="P147" s="50" t="s">
        <v>54</v>
      </c>
      <c r="Q147" s="50">
        <v>21</v>
      </c>
      <c r="R147" s="53" t="s">
        <v>80</v>
      </c>
      <c r="S147" s="50">
        <v>3</v>
      </c>
      <c r="T147" s="50">
        <v>9</v>
      </c>
      <c r="U147" s="2"/>
      <c r="V147" s="2"/>
    </row>
    <row r="148" spans="1:22" x14ac:dyDescent="0.3">
      <c r="A148" s="2"/>
      <c r="B148" s="39" t="s">
        <v>67</v>
      </c>
      <c r="C148" s="37">
        <v>13</v>
      </c>
      <c r="D148" s="37">
        <v>17</v>
      </c>
      <c r="E148" s="37">
        <v>2</v>
      </c>
      <c r="F148" s="37">
        <v>11</v>
      </c>
      <c r="G148" s="37">
        <f t="shared" si="0"/>
        <v>0</v>
      </c>
      <c r="H148" s="37">
        <v>11</v>
      </c>
      <c r="I148" s="38">
        <f t="shared" si="1"/>
        <v>0.84615384615384615</v>
      </c>
      <c r="J148" s="37">
        <f t="shared" si="2"/>
        <v>20</v>
      </c>
      <c r="K148" s="52" t="s">
        <v>414</v>
      </c>
      <c r="L148" s="2"/>
      <c r="M148" s="2"/>
      <c r="N148" s="50" t="s">
        <v>67</v>
      </c>
      <c r="O148" s="50">
        <v>0.84615384615384615</v>
      </c>
      <c r="P148" s="50" t="s">
        <v>77</v>
      </c>
      <c r="Q148" s="50">
        <v>21</v>
      </c>
      <c r="R148" s="53" t="s">
        <v>61</v>
      </c>
      <c r="S148" s="50">
        <v>1</v>
      </c>
      <c r="T148" s="50">
        <v>7</v>
      </c>
      <c r="U148" s="2"/>
      <c r="V148" s="2"/>
    </row>
    <row r="149" spans="1:22" x14ac:dyDescent="0.3">
      <c r="A149" s="2"/>
      <c r="B149" s="39" t="s">
        <v>55</v>
      </c>
      <c r="C149" s="37">
        <v>7</v>
      </c>
      <c r="D149" s="37">
        <v>15</v>
      </c>
      <c r="E149" s="37">
        <v>0</v>
      </c>
      <c r="F149" s="37">
        <v>7</v>
      </c>
      <c r="G149" s="37">
        <f t="shared" si="0"/>
        <v>0</v>
      </c>
      <c r="H149" s="37">
        <v>6</v>
      </c>
      <c r="I149" s="38">
        <f t="shared" si="1"/>
        <v>0.8571428571428571</v>
      </c>
      <c r="J149" s="37">
        <f t="shared" si="2"/>
        <v>19</v>
      </c>
      <c r="K149" s="52" t="s">
        <v>413</v>
      </c>
      <c r="L149" s="2"/>
      <c r="M149" s="2"/>
      <c r="N149" s="50" t="s">
        <v>55</v>
      </c>
      <c r="O149" s="50">
        <v>0.8571428571428571</v>
      </c>
      <c r="P149" s="50" t="s">
        <v>52</v>
      </c>
      <c r="Q149" s="50">
        <v>26</v>
      </c>
      <c r="R149" s="53" t="s">
        <v>45</v>
      </c>
      <c r="S149" s="50">
        <v>1</v>
      </c>
      <c r="T149" s="50">
        <v>9</v>
      </c>
      <c r="U149" s="2"/>
      <c r="V149" s="2"/>
    </row>
    <row r="150" spans="1:22" x14ac:dyDescent="0.3">
      <c r="A150" s="2"/>
      <c r="B150" s="39" t="s">
        <v>84</v>
      </c>
      <c r="C150" s="37">
        <v>8</v>
      </c>
      <c r="D150" s="37">
        <v>13</v>
      </c>
      <c r="E150" s="37">
        <v>1</v>
      </c>
      <c r="F150" s="37">
        <v>7</v>
      </c>
      <c r="G150" s="37">
        <f t="shared" si="0"/>
        <v>0</v>
      </c>
      <c r="H150" s="37">
        <v>7</v>
      </c>
      <c r="I150" s="38">
        <f t="shared" si="1"/>
        <v>0.875</v>
      </c>
      <c r="J150" s="37">
        <f t="shared" si="2"/>
        <v>18</v>
      </c>
      <c r="K150" s="52" t="s">
        <v>414</v>
      </c>
      <c r="L150" s="2"/>
      <c r="M150" s="2"/>
      <c r="N150" s="50" t="s">
        <v>84</v>
      </c>
      <c r="O150" s="50">
        <v>0.875</v>
      </c>
      <c r="P150" s="50" t="s">
        <v>73</v>
      </c>
      <c r="Q150" s="50">
        <v>26</v>
      </c>
      <c r="R150" s="53" t="s">
        <v>66</v>
      </c>
      <c r="S150" s="50">
        <v>1</v>
      </c>
      <c r="T150" s="50">
        <v>12</v>
      </c>
      <c r="U150" s="2"/>
      <c r="V150" s="2"/>
    </row>
    <row r="151" spans="1:22" x14ac:dyDescent="0.3">
      <c r="A151" s="2"/>
      <c r="B151" s="39" t="s">
        <v>59</v>
      </c>
      <c r="C151" s="37">
        <v>9</v>
      </c>
      <c r="D151" s="37">
        <v>14</v>
      </c>
      <c r="E151" s="37">
        <v>2</v>
      </c>
      <c r="F151" s="37">
        <v>7</v>
      </c>
      <c r="G151" s="37">
        <f t="shared" si="0"/>
        <v>0</v>
      </c>
      <c r="H151" s="37">
        <v>8</v>
      </c>
      <c r="I151" s="38">
        <f t="shared" si="1"/>
        <v>0.88888888888888884</v>
      </c>
      <c r="J151" s="37">
        <f t="shared" si="2"/>
        <v>15</v>
      </c>
      <c r="K151" s="52" t="s">
        <v>413</v>
      </c>
      <c r="L151" s="2"/>
      <c r="M151" s="2"/>
      <c r="N151" s="50" t="s">
        <v>82</v>
      </c>
      <c r="O151" s="50">
        <v>0.88888888888888884</v>
      </c>
      <c r="P151" s="50" t="s">
        <v>63</v>
      </c>
      <c r="Q151" s="50">
        <v>26</v>
      </c>
      <c r="R151" s="53" t="s">
        <v>53</v>
      </c>
      <c r="S151" s="50">
        <v>3</v>
      </c>
      <c r="T151" s="50">
        <v>9</v>
      </c>
      <c r="U151" s="2"/>
      <c r="V151" s="2"/>
    </row>
    <row r="152" spans="1:22" x14ac:dyDescent="0.3">
      <c r="A152" s="2"/>
      <c r="B152" s="39" t="s">
        <v>85</v>
      </c>
      <c r="C152" s="37">
        <v>9</v>
      </c>
      <c r="D152" s="37">
        <v>14</v>
      </c>
      <c r="E152" s="37">
        <v>1</v>
      </c>
      <c r="F152" s="37">
        <v>8</v>
      </c>
      <c r="G152" s="37">
        <f t="shared" si="0"/>
        <v>0</v>
      </c>
      <c r="H152" s="37">
        <v>8</v>
      </c>
      <c r="I152" s="38">
        <f t="shared" si="1"/>
        <v>0.88888888888888884</v>
      </c>
      <c r="J152" s="37">
        <f t="shared" si="2"/>
        <v>15</v>
      </c>
      <c r="K152" s="52" t="s">
        <v>413</v>
      </c>
      <c r="L152" s="2"/>
      <c r="M152" s="2"/>
      <c r="N152" s="50" t="s">
        <v>59</v>
      </c>
      <c r="O152" s="50">
        <v>0.88888888888888884</v>
      </c>
      <c r="P152" s="50" t="s">
        <v>81</v>
      </c>
      <c r="Q152" s="50">
        <v>29</v>
      </c>
      <c r="R152" s="53" t="s">
        <v>77</v>
      </c>
      <c r="S152" s="50">
        <v>2</v>
      </c>
      <c r="T152" s="50">
        <v>10</v>
      </c>
      <c r="U152" s="2"/>
      <c r="V152" s="2"/>
    </row>
    <row r="153" spans="1:22" x14ac:dyDescent="0.3">
      <c r="A153" s="2"/>
      <c r="B153" s="39" t="s">
        <v>82</v>
      </c>
      <c r="C153" s="37">
        <v>9</v>
      </c>
      <c r="D153" s="37">
        <v>15</v>
      </c>
      <c r="E153" s="37">
        <v>1</v>
      </c>
      <c r="F153" s="37">
        <v>8</v>
      </c>
      <c r="G153" s="37">
        <f t="shared" si="0"/>
        <v>0</v>
      </c>
      <c r="H153" s="37">
        <v>8</v>
      </c>
      <c r="I153" s="38">
        <f t="shared" si="1"/>
        <v>0.88888888888888884</v>
      </c>
      <c r="J153" s="37">
        <f t="shared" si="2"/>
        <v>15</v>
      </c>
      <c r="K153" s="52" t="s">
        <v>413</v>
      </c>
      <c r="L153" s="2"/>
      <c r="M153" s="2"/>
      <c r="N153" s="50" t="s">
        <v>85</v>
      </c>
      <c r="O153" s="50">
        <v>0.88888888888888884</v>
      </c>
      <c r="P153" s="50" t="s">
        <v>68</v>
      </c>
      <c r="Q153" s="50">
        <v>30</v>
      </c>
      <c r="R153" s="53" t="s">
        <v>67</v>
      </c>
      <c r="S153" s="50">
        <v>2</v>
      </c>
      <c r="T153" s="50">
        <v>11</v>
      </c>
      <c r="U153" s="2"/>
      <c r="V153" s="2"/>
    </row>
    <row r="154" spans="1:22" x14ac:dyDescent="0.3">
      <c r="A154" s="2"/>
      <c r="B154" s="39" t="s">
        <v>816</v>
      </c>
      <c r="C154" s="37">
        <v>10</v>
      </c>
      <c r="D154" s="37">
        <v>13</v>
      </c>
      <c r="E154" s="37">
        <v>1</v>
      </c>
      <c r="F154" s="37">
        <v>9</v>
      </c>
      <c r="G154" s="37">
        <f t="shared" si="0"/>
        <v>0</v>
      </c>
      <c r="H154" s="37">
        <v>9</v>
      </c>
      <c r="I154" s="38">
        <f t="shared" si="1"/>
        <v>0.9</v>
      </c>
      <c r="J154" s="37">
        <f t="shared" si="2"/>
        <v>14</v>
      </c>
      <c r="K154" s="52" t="s">
        <v>414</v>
      </c>
      <c r="L154" s="2"/>
      <c r="M154" s="2"/>
      <c r="N154" s="50" t="s">
        <v>817</v>
      </c>
      <c r="O154" s="50">
        <v>0.9</v>
      </c>
      <c r="P154" s="50" t="s">
        <v>72</v>
      </c>
      <c r="Q154" s="50">
        <v>31</v>
      </c>
      <c r="R154" s="53" t="s">
        <v>48</v>
      </c>
      <c r="S154" s="50">
        <v>0</v>
      </c>
      <c r="T154" s="50">
        <v>10</v>
      </c>
      <c r="U154" s="2"/>
      <c r="V154" s="2"/>
    </row>
    <row r="155" spans="1:22" x14ac:dyDescent="0.3">
      <c r="A155" s="2"/>
      <c r="B155" s="39" t="s">
        <v>45</v>
      </c>
      <c r="C155" s="37">
        <v>11</v>
      </c>
      <c r="D155" s="37">
        <v>14</v>
      </c>
      <c r="E155" s="37">
        <v>1</v>
      </c>
      <c r="F155" s="37">
        <v>9</v>
      </c>
      <c r="G155" s="37">
        <f t="shared" si="0"/>
        <v>1</v>
      </c>
      <c r="H155" s="37">
        <v>9</v>
      </c>
      <c r="I155" s="38">
        <f t="shared" si="1"/>
        <v>0.90909090909090906</v>
      </c>
      <c r="J155" s="37">
        <f t="shared" si="2"/>
        <v>12</v>
      </c>
      <c r="K155" s="52" t="s">
        <v>413</v>
      </c>
      <c r="L155" s="2"/>
      <c r="M155" s="2"/>
      <c r="N155" s="50" t="s">
        <v>70</v>
      </c>
      <c r="O155" s="50">
        <v>0.90909090909090906</v>
      </c>
      <c r="P155" s="50" t="s">
        <v>79</v>
      </c>
      <c r="Q155" s="50">
        <v>31</v>
      </c>
      <c r="R155" s="53" t="s">
        <v>60</v>
      </c>
      <c r="S155" s="50">
        <v>0</v>
      </c>
      <c r="T155" s="50">
        <v>9</v>
      </c>
      <c r="U155" s="2"/>
      <c r="V155" s="2"/>
    </row>
    <row r="156" spans="1:22" x14ac:dyDescent="0.3">
      <c r="A156" s="2"/>
      <c r="B156" s="39" t="s">
        <v>70</v>
      </c>
      <c r="C156" s="37">
        <v>11</v>
      </c>
      <c r="D156" s="37">
        <v>18</v>
      </c>
      <c r="E156" s="37">
        <v>1</v>
      </c>
      <c r="F156" s="37">
        <v>10</v>
      </c>
      <c r="G156" s="37">
        <f t="shared" si="0"/>
        <v>0</v>
      </c>
      <c r="H156" s="37">
        <v>10</v>
      </c>
      <c r="I156" s="38">
        <f t="shared" si="1"/>
        <v>0.90909090909090906</v>
      </c>
      <c r="J156" s="37">
        <f t="shared" si="2"/>
        <v>12</v>
      </c>
      <c r="K156" s="52" t="s">
        <v>413</v>
      </c>
      <c r="L156" s="2"/>
      <c r="M156" s="2"/>
      <c r="N156" s="50" t="s">
        <v>45</v>
      </c>
      <c r="O156" s="50">
        <v>0.90909090909090906</v>
      </c>
      <c r="P156" s="50" t="s">
        <v>78</v>
      </c>
      <c r="Q156" s="50">
        <v>31</v>
      </c>
      <c r="R156" s="53" t="s">
        <v>55</v>
      </c>
      <c r="S156" s="50">
        <v>0</v>
      </c>
      <c r="T156" s="50">
        <v>7</v>
      </c>
      <c r="U156" s="2"/>
      <c r="V156" s="2"/>
    </row>
    <row r="157" spans="1:22" x14ac:dyDescent="0.3">
      <c r="A157" s="2"/>
      <c r="B157" s="39" t="s">
        <v>66</v>
      </c>
      <c r="C157" s="37">
        <v>13</v>
      </c>
      <c r="D157" s="37">
        <v>17</v>
      </c>
      <c r="E157" s="37">
        <v>1</v>
      </c>
      <c r="F157" s="37">
        <v>12</v>
      </c>
      <c r="G157" s="37">
        <f t="shared" si="0"/>
        <v>0</v>
      </c>
      <c r="H157" s="37">
        <v>12</v>
      </c>
      <c r="I157" s="38">
        <f t="shared" si="1"/>
        <v>0.92307692307692313</v>
      </c>
      <c r="J157" s="37">
        <f t="shared" si="2"/>
        <v>11</v>
      </c>
      <c r="K157" s="52" t="s">
        <v>413</v>
      </c>
      <c r="L157" s="2"/>
      <c r="M157" s="2"/>
      <c r="N157" s="50" t="s">
        <v>66</v>
      </c>
      <c r="O157" s="50">
        <v>0.92307692307692313</v>
      </c>
      <c r="P157" s="50" t="s">
        <v>57</v>
      </c>
      <c r="Q157" s="50">
        <v>31</v>
      </c>
      <c r="R157" s="53" t="s">
        <v>82</v>
      </c>
      <c r="S157" s="50">
        <v>1</v>
      </c>
      <c r="T157" s="50">
        <v>8</v>
      </c>
      <c r="U157" s="2"/>
      <c r="V157" s="2"/>
    </row>
    <row r="158" spans="1:22" x14ac:dyDescent="0.3">
      <c r="A158" s="2"/>
      <c r="B158" s="39" t="s">
        <v>83</v>
      </c>
      <c r="C158" s="37">
        <v>7</v>
      </c>
      <c r="D158" s="37">
        <v>15</v>
      </c>
      <c r="E158" s="37">
        <v>0</v>
      </c>
      <c r="F158" s="37">
        <v>7</v>
      </c>
      <c r="G158" s="37">
        <f t="shared" si="0"/>
        <v>0</v>
      </c>
      <c r="H158" s="37">
        <v>6.5</v>
      </c>
      <c r="I158" s="38">
        <f t="shared" si="1"/>
        <v>0.9285714285714286</v>
      </c>
      <c r="J158" s="37">
        <f t="shared" si="2"/>
        <v>10</v>
      </c>
      <c r="K158" s="52" t="s">
        <v>414</v>
      </c>
      <c r="L158" s="2"/>
      <c r="M158" s="2"/>
      <c r="N158" s="50" t="s">
        <v>83</v>
      </c>
      <c r="O158" s="50">
        <v>0.9285714285714286</v>
      </c>
      <c r="P158" s="50" t="s">
        <v>80</v>
      </c>
      <c r="Q158" s="50">
        <v>35</v>
      </c>
      <c r="R158" s="53" t="s">
        <v>71</v>
      </c>
      <c r="S158" s="50">
        <v>2</v>
      </c>
      <c r="T158" s="50">
        <v>10</v>
      </c>
      <c r="U158" s="2"/>
      <c r="V158" s="2"/>
    </row>
    <row r="159" spans="1:22" x14ac:dyDescent="0.3">
      <c r="A159" s="2"/>
      <c r="B159" s="39" t="s">
        <v>584</v>
      </c>
      <c r="C159" s="37">
        <v>9</v>
      </c>
      <c r="D159" s="37">
        <v>15</v>
      </c>
      <c r="E159" s="37">
        <v>0</v>
      </c>
      <c r="F159" s="37">
        <v>8</v>
      </c>
      <c r="G159" s="37">
        <f t="shared" si="0"/>
        <v>1</v>
      </c>
      <c r="H159" s="37">
        <v>8</v>
      </c>
      <c r="I159" s="38">
        <f t="shared" si="1"/>
        <v>1</v>
      </c>
      <c r="J159" s="37">
        <f t="shared" si="2"/>
        <v>1</v>
      </c>
      <c r="K159" s="52" t="s">
        <v>414</v>
      </c>
      <c r="L159" s="2"/>
      <c r="M159" s="2"/>
      <c r="N159" s="50" t="s">
        <v>60</v>
      </c>
      <c r="O159" s="50">
        <v>1</v>
      </c>
      <c r="P159" s="50" t="s">
        <v>53</v>
      </c>
      <c r="Q159" s="50">
        <v>35</v>
      </c>
      <c r="R159" s="53" t="s">
        <v>70</v>
      </c>
      <c r="S159" s="50">
        <v>1</v>
      </c>
      <c r="T159" s="50">
        <v>10</v>
      </c>
      <c r="U159" s="2"/>
      <c r="V159" s="2"/>
    </row>
    <row r="160" spans="1:22" x14ac:dyDescent="0.3">
      <c r="A160" s="2"/>
      <c r="B160" s="39" t="s">
        <v>61</v>
      </c>
      <c r="C160" s="37">
        <v>9</v>
      </c>
      <c r="D160" s="37">
        <v>15</v>
      </c>
      <c r="E160" s="37">
        <v>1</v>
      </c>
      <c r="F160" s="37">
        <v>7</v>
      </c>
      <c r="G160" s="37">
        <f t="shared" si="0"/>
        <v>1</v>
      </c>
      <c r="H160" s="37">
        <v>8</v>
      </c>
      <c r="I160" s="38">
        <f t="shared" si="1"/>
        <v>1</v>
      </c>
      <c r="J160" s="37">
        <f t="shared" si="2"/>
        <v>1</v>
      </c>
      <c r="K160" s="52" t="s">
        <v>414</v>
      </c>
      <c r="L160" s="2"/>
      <c r="M160" s="2"/>
      <c r="N160" s="50" t="s">
        <v>58</v>
      </c>
      <c r="O160" s="50">
        <v>1</v>
      </c>
      <c r="P160" s="50" t="s">
        <v>71</v>
      </c>
      <c r="Q160" s="50">
        <v>35</v>
      </c>
      <c r="R160" s="53" t="s">
        <v>50</v>
      </c>
      <c r="S160" s="50">
        <v>3</v>
      </c>
      <c r="T160" s="50">
        <v>8</v>
      </c>
      <c r="U160" s="2"/>
      <c r="V160" s="2"/>
    </row>
    <row r="161" spans="1:23" x14ac:dyDescent="0.3">
      <c r="A161" s="2"/>
      <c r="B161" s="39" t="s">
        <v>421</v>
      </c>
      <c r="C161" s="37">
        <v>10</v>
      </c>
      <c r="D161" s="37">
        <v>15</v>
      </c>
      <c r="E161" s="37">
        <v>0</v>
      </c>
      <c r="F161" s="37">
        <v>9</v>
      </c>
      <c r="G161" s="37">
        <f t="shared" si="0"/>
        <v>1</v>
      </c>
      <c r="H161" s="37">
        <v>9</v>
      </c>
      <c r="I161" s="38">
        <f t="shared" si="1"/>
        <v>1</v>
      </c>
      <c r="J161" s="37">
        <f t="shared" si="2"/>
        <v>1</v>
      </c>
      <c r="K161" s="52" t="s">
        <v>413</v>
      </c>
      <c r="L161" s="2"/>
      <c r="M161" s="2"/>
      <c r="N161" s="50" t="s">
        <v>61</v>
      </c>
      <c r="O161" s="50">
        <v>1</v>
      </c>
      <c r="P161" s="50" t="s">
        <v>74</v>
      </c>
      <c r="Q161" s="50">
        <v>38</v>
      </c>
      <c r="R161" s="53" t="s">
        <v>79</v>
      </c>
      <c r="S161" s="50">
        <v>1</v>
      </c>
      <c r="T161" s="50">
        <v>8</v>
      </c>
      <c r="U161" s="2"/>
      <c r="V161" s="2"/>
    </row>
    <row r="162" spans="1:23" x14ac:dyDescent="0.3">
      <c r="A162" s="2"/>
      <c r="B162" s="39" t="s">
        <v>48</v>
      </c>
      <c r="C162" s="37">
        <v>11</v>
      </c>
      <c r="D162" s="37">
        <v>13</v>
      </c>
      <c r="E162" s="37">
        <v>0</v>
      </c>
      <c r="F162" s="37">
        <v>10</v>
      </c>
      <c r="G162" s="37">
        <f t="shared" si="0"/>
        <v>1</v>
      </c>
      <c r="H162" s="37">
        <v>10</v>
      </c>
      <c r="I162" s="38">
        <f t="shared" si="1"/>
        <v>1</v>
      </c>
      <c r="J162" s="37">
        <f t="shared" si="2"/>
        <v>1</v>
      </c>
      <c r="K162" s="52" t="s">
        <v>414</v>
      </c>
      <c r="L162" s="2"/>
      <c r="M162" s="2"/>
      <c r="N162" s="50" t="s">
        <v>49</v>
      </c>
      <c r="O162" s="50">
        <v>1</v>
      </c>
      <c r="P162" s="50" t="s">
        <v>69</v>
      </c>
      <c r="Q162" s="50">
        <v>39</v>
      </c>
      <c r="R162" s="53" t="s">
        <v>1098</v>
      </c>
      <c r="S162" s="50">
        <v>1</v>
      </c>
      <c r="T162" s="50">
        <v>9</v>
      </c>
      <c r="U162" s="2"/>
      <c r="V162" s="2"/>
    </row>
    <row r="163" spans="1:23" x14ac:dyDescent="0.3">
      <c r="A163" s="2"/>
      <c r="B163" s="39" t="s">
        <v>49</v>
      </c>
      <c r="C163" s="37">
        <v>11</v>
      </c>
      <c r="D163" s="37">
        <v>14</v>
      </c>
      <c r="E163" s="37">
        <v>0</v>
      </c>
      <c r="F163" s="37">
        <v>10</v>
      </c>
      <c r="G163" s="37">
        <f t="shared" si="0"/>
        <v>1</v>
      </c>
      <c r="H163" s="37">
        <v>10</v>
      </c>
      <c r="I163" s="38">
        <f t="shared" si="1"/>
        <v>1</v>
      </c>
      <c r="J163" s="37">
        <f t="shared" si="2"/>
        <v>1</v>
      </c>
      <c r="K163" s="52" t="s">
        <v>413</v>
      </c>
      <c r="L163" s="2"/>
      <c r="M163" s="2"/>
      <c r="N163" s="50" t="s">
        <v>421</v>
      </c>
      <c r="O163" s="50">
        <v>1</v>
      </c>
      <c r="P163" s="50" t="s">
        <v>1098</v>
      </c>
      <c r="Q163" s="50">
        <v>40</v>
      </c>
      <c r="R163" s="53" t="s">
        <v>58</v>
      </c>
      <c r="S163" s="50">
        <v>0</v>
      </c>
      <c r="T163" s="50">
        <v>9</v>
      </c>
      <c r="U163" s="2"/>
      <c r="V163" s="2"/>
    </row>
    <row r="164" spans="1:23" x14ac:dyDescent="0.3">
      <c r="A164" s="2"/>
      <c r="B164" s="39" t="s">
        <v>64</v>
      </c>
      <c r="C164" s="37">
        <v>14</v>
      </c>
      <c r="D164" s="37">
        <v>15</v>
      </c>
      <c r="E164" s="37">
        <v>1</v>
      </c>
      <c r="F164" s="37">
        <v>13</v>
      </c>
      <c r="G164" s="37">
        <f t="shared" si="0"/>
        <v>0</v>
      </c>
      <c r="H164" s="37">
        <v>14</v>
      </c>
      <c r="I164" s="38">
        <f t="shared" si="1"/>
        <v>1</v>
      </c>
      <c r="J164" s="37">
        <f t="shared" si="2"/>
        <v>1</v>
      </c>
      <c r="K164" s="52" t="s">
        <v>414</v>
      </c>
      <c r="L164" s="2"/>
      <c r="M164" s="2"/>
      <c r="N164" s="50" t="s">
        <v>51</v>
      </c>
      <c r="O164" s="50">
        <v>1</v>
      </c>
      <c r="P164" s="50" t="s">
        <v>50</v>
      </c>
      <c r="Q164" s="50">
        <v>41</v>
      </c>
      <c r="R164" s="53" t="s">
        <v>426</v>
      </c>
      <c r="S164" s="50">
        <v>2</v>
      </c>
      <c r="T164" s="50">
        <v>9</v>
      </c>
      <c r="U164" s="2"/>
      <c r="V164" s="2"/>
    </row>
    <row r="165" spans="1:23" x14ac:dyDescent="0.3">
      <c r="A165" s="2"/>
      <c r="B165" s="39" t="s">
        <v>51</v>
      </c>
      <c r="C165" s="37">
        <v>9</v>
      </c>
      <c r="D165" s="37">
        <v>14</v>
      </c>
      <c r="E165" s="37">
        <v>0</v>
      </c>
      <c r="F165" s="37">
        <v>9</v>
      </c>
      <c r="G165" s="37">
        <f t="shared" si="0"/>
        <v>0</v>
      </c>
      <c r="H165" s="37">
        <v>9</v>
      </c>
      <c r="I165" s="38">
        <f t="shared" si="1"/>
        <v>1</v>
      </c>
      <c r="J165" s="37">
        <f t="shared" si="2"/>
        <v>1</v>
      </c>
      <c r="K165" s="52" t="s">
        <v>413</v>
      </c>
      <c r="L165" s="2"/>
      <c r="M165" s="2"/>
      <c r="N165" s="50" t="s">
        <v>48</v>
      </c>
      <c r="O165" s="50">
        <v>1</v>
      </c>
      <c r="P165" s="50" t="s">
        <v>75</v>
      </c>
      <c r="Q165" s="50">
        <v>41</v>
      </c>
      <c r="R165" s="53" t="s">
        <v>421</v>
      </c>
      <c r="S165" s="50">
        <v>0</v>
      </c>
      <c r="T165" s="50">
        <v>9</v>
      </c>
      <c r="U165" s="2"/>
      <c r="V165" s="2"/>
    </row>
    <row r="166" spans="1:23" x14ac:dyDescent="0.3">
      <c r="A166" s="2"/>
      <c r="B166" s="39" t="s">
        <v>60</v>
      </c>
      <c r="C166" s="37">
        <v>9</v>
      </c>
      <c r="D166" s="37">
        <v>13</v>
      </c>
      <c r="E166" s="37">
        <v>0</v>
      </c>
      <c r="F166" s="37">
        <v>9</v>
      </c>
      <c r="G166" s="37">
        <f t="shared" si="0"/>
        <v>0</v>
      </c>
      <c r="H166" s="37">
        <v>9</v>
      </c>
      <c r="I166" s="38">
        <f t="shared" si="1"/>
        <v>1</v>
      </c>
      <c r="J166" s="37">
        <f t="shared" si="2"/>
        <v>1</v>
      </c>
      <c r="K166" s="52" t="s">
        <v>413</v>
      </c>
      <c r="L166" s="2"/>
      <c r="M166" s="2"/>
      <c r="N166" s="50" t="s">
        <v>64</v>
      </c>
      <c r="O166" s="50">
        <v>1</v>
      </c>
      <c r="P166" s="50" t="s">
        <v>65</v>
      </c>
      <c r="Q166" s="50">
        <v>43</v>
      </c>
      <c r="R166" s="53" t="s">
        <v>817</v>
      </c>
      <c r="S166" s="50">
        <v>1</v>
      </c>
      <c r="T166" s="50">
        <v>9</v>
      </c>
      <c r="U166" s="2"/>
      <c r="V166" s="2"/>
    </row>
    <row r="167" spans="1:23" x14ac:dyDescent="0.3">
      <c r="A167" s="2"/>
      <c r="B167" s="39" t="s">
        <v>58</v>
      </c>
      <c r="C167" s="37">
        <v>9</v>
      </c>
      <c r="D167" s="37">
        <v>17</v>
      </c>
      <c r="E167" s="37">
        <v>0</v>
      </c>
      <c r="F167" s="37">
        <v>9</v>
      </c>
      <c r="G167" s="37">
        <f t="shared" si="0"/>
        <v>0</v>
      </c>
      <c r="H167" s="37">
        <v>9</v>
      </c>
      <c r="I167" s="38">
        <f t="shared" si="1"/>
        <v>1</v>
      </c>
      <c r="J167" s="37">
        <f t="shared" si="2"/>
        <v>1</v>
      </c>
      <c r="K167" s="52" t="s">
        <v>413</v>
      </c>
      <c r="L167" s="2"/>
      <c r="M167" s="2"/>
      <c r="N167" s="50" t="s">
        <v>818</v>
      </c>
      <c r="O167" s="50">
        <v>1</v>
      </c>
      <c r="P167" s="50" t="s">
        <v>62</v>
      </c>
      <c r="Q167" s="50">
        <v>44</v>
      </c>
      <c r="R167" s="53" t="s">
        <v>818</v>
      </c>
      <c r="S167" s="50">
        <v>0</v>
      </c>
      <c r="T167" s="50">
        <v>8</v>
      </c>
      <c r="U167" s="2"/>
      <c r="V167" s="2"/>
      <c r="W167" s="2"/>
    </row>
    <row r="168" spans="1:23" x14ac:dyDescent="0.3">
      <c r="A168" s="2"/>
      <c r="B168" s="2"/>
      <c r="C168" s="2"/>
      <c r="D168" s="2"/>
      <c r="E168" s="2"/>
      <c r="F168" s="2"/>
      <c r="G168" s="2"/>
      <c r="H168" s="2"/>
      <c r="I168" s="2"/>
      <c r="J168" s="2"/>
      <c r="K168" s="2"/>
      <c r="L168" s="2"/>
      <c r="M168" s="2"/>
      <c r="N168" s="51" t="s">
        <v>410</v>
      </c>
      <c r="O168" s="88">
        <v>0.84107559107559127</v>
      </c>
      <c r="P168" s="51" t="s">
        <v>415</v>
      </c>
      <c r="Q168" s="88">
        <v>21.068181818181817</v>
      </c>
      <c r="R168" s="53" t="s">
        <v>419</v>
      </c>
      <c r="S168" s="50">
        <v>69.5</v>
      </c>
      <c r="T168" s="50">
        <v>373.5</v>
      </c>
      <c r="U168" s="2"/>
      <c r="V168" s="2"/>
    </row>
    <row r="169" spans="1:23" x14ac:dyDescent="0.3">
      <c r="A169" s="2"/>
      <c r="B169" s="2"/>
      <c r="C169" s="2"/>
      <c r="D169" s="2"/>
      <c r="E169" s="2"/>
      <c r="F169" s="2"/>
      <c r="G169" s="2"/>
      <c r="H169" s="2"/>
      <c r="I169" s="2"/>
      <c r="J169" s="2"/>
      <c r="K169" s="2"/>
      <c r="L169" s="2"/>
      <c r="M169" s="2"/>
      <c r="N169" s="107"/>
      <c r="T169" s="101"/>
      <c r="U169" s="2"/>
      <c r="V169" s="2"/>
    </row>
    <row r="170" spans="1:23" x14ac:dyDescent="0.3">
      <c r="A170" s="2"/>
      <c r="B170" s="2"/>
      <c r="C170" s="2"/>
      <c r="D170" s="2"/>
      <c r="E170" s="2"/>
      <c r="F170" s="2"/>
      <c r="G170" s="2"/>
      <c r="H170" s="2"/>
      <c r="I170" s="2"/>
      <c r="J170" s="2"/>
      <c r="K170" s="2"/>
      <c r="L170" s="2"/>
      <c r="M170" s="2"/>
      <c r="N170" s="107"/>
      <c r="T170" s="101"/>
      <c r="U170" s="2"/>
      <c r="V170" s="2"/>
    </row>
    <row r="171" spans="1:23" x14ac:dyDescent="0.3">
      <c r="A171" s="2"/>
      <c r="B171" s="2"/>
      <c r="C171" s="2"/>
      <c r="D171" s="2"/>
      <c r="E171" s="2"/>
      <c r="F171" s="2"/>
      <c r="G171" s="2"/>
      <c r="H171" s="2"/>
      <c r="I171" s="2"/>
      <c r="J171" s="2"/>
      <c r="K171" s="2"/>
      <c r="L171" s="2"/>
      <c r="M171" s="2"/>
      <c r="N171" s="107"/>
      <c r="T171" s="101"/>
      <c r="U171" s="2"/>
      <c r="V171" s="2"/>
    </row>
    <row r="172" spans="1:23" x14ac:dyDescent="0.3">
      <c r="A172" s="2"/>
      <c r="B172" s="2"/>
      <c r="C172" s="2"/>
      <c r="D172" s="2"/>
      <c r="E172" s="2"/>
      <c r="F172" s="2"/>
      <c r="G172" s="2"/>
      <c r="H172" s="2"/>
      <c r="I172" s="2"/>
      <c r="J172" s="2"/>
      <c r="K172" s="2"/>
      <c r="L172" s="2"/>
      <c r="M172" s="2"/>
      <c r="N172" s="108"/>
      <c r="O172" s="106"/>
      <c r="P172" s="106"/>
      <c r="Q172" s="106"/>
      <c r="R172" s="106"/>
      <c r="S172" s="106"/>
      <c r="T172" s="103"/>
      <c r="U172" s="2"/>
      <c r="V172" s="2"/>
    </row>
    <row r="173" spans="1:23" x14ac:dyDescent="0.3">
      <c r="A173" s="2"/>
      <c r="B173" s="2"/>
      <c r="C173" s="2"/>
      <c r="D173" s="2"/>
      <c r="E173" s="2"/>
      <c r="F173" s="2"/>
      <c r="G173" s="2"/>
      <c r="H173" s="2"/>
      <c r="I173" s="2"/>
      <c r="J173" s="2"/>
      <c r="K173" s="2"/>
      <c r="L173" s="2"/>
      <c r="M173" s="2"/>
      <c r="N173" s="2"/>
      <c r="O173" s="2"/>
      <c r="P173" s="2"/>
      <c r="Q173" s="2"/>
      <c r="R173" s="2"/>
      <c r="S173" s="2"/>
      <c r="T173" s="2"/>
      <c r="U173" s="2"/>
      <c r="V173" s="2"/>
    </row>
    <row r="174" spans="1:23" x14ac:dyDescent="0.3">
      <c r="A174" s="2"/>
      <c r="B174" s="2"/>
      <c r="C174" s="2"/>
      <c r="D174" s="2"/>
      <c r="E174" s="2"/>
      <c r="F174" s="2"/>
      <c r="G174" s="2"/>
      <c r="H174" s="2"/>
      <c r="I174" s="2"/>
      <c r="J174" s="2"/>
      <c r="K174" s="2"/>
      <c r="L174" s="2"/>
      <c r="M174" s="2"/>
      <c r="N174" s="2"/>
      <c r="O174" s="2"/>
      <c r="P174" s="2"/>
      <c r="Q174" s="2"/>
      <c r="R174" s="2"/>
      <c r="S174" s="2"/>
      <c r="T174" s="2"/>
      <c r="U174" s="2"/>
      <c r="V174" s="2"/>
    </row>
    <row r="175" spans="1:23" x14ac:dyDescent="0.3">
      <c r="A175" s="2"/>
      <c r="B175" s="181" t="s">
        <v>429</v>
      </c>
      <c r="C175" s="182"/>
      <c r="D175" s="182"/>
      <c r="E175" s="182"/>
      <c r="F175" s="182"/>
      <c r="G175" s="182"/>
      <c r="H175" s="182"/>
      <c r="I175" s="182"/>
      <c r="J175" s="182"/>
      <c r="K175" s="182"/>
      <c r="L175" s="182"/>
      <c r="M175" s="182"/>
      <c r="N175" s="182"/>
      <c r="O175" s="182"/>
      <c r="P175" s="182"/>
      <c r="Q175" s="182"/>
      <c r="R175" s="182"/>
      <c r="S175" s="182"/>
      <c r="T175" s="183"/>
      <c r="U175" s="2"/>
      <c r="V175" s="2"/>
    </row>
    <row r="176" spans="1:23" x14ac:dyDescent="0.3">
      <c r="A176" s="2"/>
      <c r="B176" s="184"/>
      <c r="C176" s="185"/>
      <c r="D176" s="185"/>
      <c r="E176" s="185"/>
      <c r="F176" s="185"/>
      <c r="G176" s="185"/>
      <c r="H176" s="185"/>
      <c r="I176" s="185"/>
      <c r="J176" s="185"/>
      <c r="K176" s="185"/>
      <c r="L176" s="185"/>
      <c r="M176" s="185"/>
      <c r="N176" s="185"/>
      <c r="O176" s="185"/>
      <c r="P176" s="185"/>
      <c r="Q176" s="185"/>
      <c r="R176" s="185"/>
      <c r="S176" s="185"/>
      <c r="T176" s="186"/>
      <c r="U176" s="2"/>
      <c r="V176" s="2"/>
    </row>
    <row r="177" spans="1:33" x14ac:dyDescent="0.3">
      <c r="A177" s="2"/>
      <c r="B177" s="187"/>
      <c r="C177" s="188"/>
      <c r="D177" s="188"/>
      <c r="E177" s="188"/>
      <c r="F177" s="188"/>
      <c r="G177" s="188"/>
      <c r="H177" s="188"/>
      <c r="I177" s="188"/>
      <c r="J177" s="188"/>
      <c r="K177" s="188"/>
      <c r="L177" s="188"/>
      <c r="M177" s="188"/>
      <c r="N177" s="188"/>
      <c r="O177" s="188"/>
      <c r="P177" s="188"/>
      <c r="Q177" s="188"/>
      <c r="R177" s="188"/>
      <c r="S177" s="188"/>
      <c r="T177" s="189"/>
      <c r="U177" s="2"/>
      <c r="V177" s="2"/>
    </row>
    <row r="178" spans="1:33" x14ac:dyDescent="0.3">
      <c r="A178" s="2"/>
      <c r="B178" s="67"/>
      <c r="C178" s="67"/>
      <c r="D178" s="67"/>
      <c r="E178" s="67"/>
      <c r="F178" s="67"/>
      <c r="G178" s="67"/>
      <c r="H178" s="67"/>
      <c r="I178" s="67"/>
      <c r="J178" s="67"/>
      <c r="K178" s="67"/>
      <c r="L178" s="67"/>
      <c r="M178" s="67"/>
      <c r="N178" s="67"/>
      <c r="O178" s="67"/>
      <c r="P178" s="67"/>
      <c r="Q178" s="67"/>
      <c r="R178" s="67"/>
      <c r="S178" s="67"/>
      <c r="T178" s="67"/>
      <c r="U178" s="2"/>
      <c r="V178" s="2"/>
    </row>
    <row r="179" spans="1:33" x14ac:dyDescent="0.3">
      <c r="A179" s="2"/>
      <c r="B179" s="2"/>
      <c r="C179" s="2"/>
      <c r="D179" s="2"/>
      <c r="E179" s="2"/>
      <c r="F179" s="2"/>
      <c r="G179" s="2"/>
      <c r="H179" s="2"/>
      <c r="I179" s="2"/>
      <c r="J179" s="2"/>
      <c r="K179" s="2"/>
      <c r="L179" s="2"/>
      <c r="M179" s="2"/>
      <c r="N179" s="2"/>
      <c r="O179" s="2"/>
      <c r="P179" s="2"/>
      <c r="Q179" s="2"/>
      <c r="R179" s="2"/>
      <c r="S179" s="2"/>
      <c r="T179" s="2"/>
      <c r="U179" s="2"/>
      <c r="V179" s="2"/>
    </row>
    <row r="180" spans="1:33" x14ac:dyDescent="0.3">
      <c r="A180" s="2"/>
      <c r="B180" s="2"/>
      <c r="C180" s="2"/>
      <c r="D180" s="2"/>
      <c r="E180" s="2"/>
      <c r="F180" s="2"/>
      <c r="G180" s="2"/>
      <c r="H180" s="2"/>
      <c r="I180" s="2"/>
      <c r="J180" s="2"/>
      <c r="K180" s="2"/>
      <c r="L180" s="2"/>
      <c r="M180" s="2"/>
      <c r="N180" s="2"/>
      <c r="O180" s="2"/>
      <c r="P180" s="2"/>
      <c r="Q180" s="2"/>
      <c r="R180" s="2"/>
      <c r="S180" s="2"/>
      <c r="T180" s="2"/>
      <c r="U180" s="2"/>
      <c r="V180" s="2"/>
    </row>
    <row r="181" spans="1:33" x14ac:dyDescent="0.3">
      <c r="A181" s="2"/>
      <c r="B181" s="2"/>
      <c r="C181" s="2"/>
      <c r="D181" s="2"/>
      <c r="E181" s="2"/>
      <c r="F181" s="2"/>
      <c r="G181" s="2"/>
      <c r="H181" s="2"/>
      <c r="I181" s="2"/>
      <c r="J181" s="2"/>
      <c r="K181" s="2"/>
      <c r="L181" s="2"/>
      <c r="M181" s="2"/>
      <c r="N181" s="2"/>
      <c r="O181" s="2"/>
      <c r="P181" s="2"/>
      <c r="Q181" s="2"/>
      <c r="R181" s="2"/>
      <c r="S181" s="2"/>
      <c r="T181" s="2"/>
      <c r="U181" s="2"/>
      <c r="V181" s="2"/>
    </row>
    <row r="182" spans="1:33" x14ac:dyDescent="0.3">
      <c r="A182" s="2"/>
      <c r="B182" s="2"/>
      <c r="C182" s="2"/>
      <c r="D182" s="2"/>
      <c r="E182" s="2"/>
      <c r="F182" s="2"/>
      <c r="G182" s="2"/>
      <c r="H182" s="2"/>
      <c r="I182" s="2"/>
      <c r="J182" s="2"/>
      <c r="K182" s="2"/>
      <c r="L182" s="2"/>
      <c r="M182" s="2"/>
      <c r="N182" s="2"/>
      <c r="O182" s="181" t="s">
        <v>422</v>
      </c>
      <c r="P182" s="182"/>
      <c r="Q182" s="182"/>
      <c r="R182" s="182"/>
      <c r="S182" s="182"/>
      <c r="T182" s="183"/>
      <c r="U182" s="61" t="s">
        <v>408</v>
      </c>
      <c r="V182" s="61" t="s">
        <v>411</v>
      </c>
      <c r="W182" s="55"/>
      <c r="X182" s="55"/>
      <c r="Y182" s="55"/>
      <c r="Z182" s="55"/>
      <c r="AA182" s="55"/>
      <c r="AB182" s="55"/>
      <c r="AC182" s="55"/>
      <c r="AD182" s="55"/>
      <c r="AE182" s="55"/>
      <c r="AF182" s="55"/>
      <c r="AG182" s="56"/>
    </row>
    <row r="183" spans="1:33" x14ac:dyDescent="0.3">
      <c r="A183" s="2"/>
      <c r="B183" s="2"/>
      <c r="C183" s="2"/>
      <c r="D183" s="2"/>
      <c r="E183" s="2"/>
      <c r="F183" s="2"/>
      <c r="G183" s="2"/>
      <c r="H183" s="2"/>
      <c r="I183" s="2"/>
      <c r="J183" s="2"/>
      <c r="K183" s="2"/>
      <c r="L183" s="2"/>
      <c r="M183" s="2"/>
      <c r="N183" s="2"/>
      <c r="O183" s="184"/>
      <c r="P183" s="185"/>
      <c r="Q183" s="185"/>
      <c r="R183" s="185"/>
      <c r="S183" s="185"/>
      <c r="T183" s="186"/>
      <c r="U183" s="61" t="s">
        <v>45</v>
      </c>
      <c r="V183" s="62">
        <v>0.91</v>
      </c>
      <c r="W183" s="57"/>
      <c r="X183" s="57"/>
      <c r="Y183" s="57"/>
      <c r="Z183" s="57"/>
      <c r="AA183" s="57"/>
      <c r="AB183" s="57"/>
      <c r="AC183" s="57"/>
      <c r="AD183" s="57"/>
      <c r="AE183" s="57"/>
      <c r="AF183" s="57"/>
      <c r="AG183" s="58"/>
    </row>
    <row r="184" spans="1:33" x14ac:dyDescent="0.3">
      <c r="A184" s="2"/>
      <c r="B184" s="2"/>
      <c r="C184" s="2"/>
      <c r="D184" s="2"/>
      <c r="E184" s="2"/>
      <c r="F184" s="2"/>
      <c r="G184" s="2"/>
      <c r="H184" s="2"/>
      <c r="I184" s="2"/>
      <c r="J184" s="2"/>
      <c r="K184" s="2"/>
      <c r="L184" s="2"/>
      <c r="M184" s="2"/>
      <c r="N184" s="2"/>
      <c r="O184" s="187"/>
      <c r="P184" s="188"/>
      <c r="Q184" s="188"/>
      <c r="R184" s="188"/>
      <c r="S184" s="188"/>
      <c r="T184" s="189"/>
      <c r="U184" s="61" t="s">
        <v>48</v>
      </c>
      <c r="V184" s="62">
        <v>1</v>
      </c>
      <c r="W184" s="59"/>
      <c r="X184" s="59"/>
      <c r="Y184" s="59"/>
      <c r="Z184" s="59"/>
      <c r="AA184" s="59"/>
      <c r="AB184" s="59"/>
      <c r="AC184" s="59"/>
      <c r="AD184" s="59"/>
      <c r="AE184" s="59"/>
      <c r="AF184" s="59"/>
      <c r="AG184" s="60"/>
    </row>
    <row r="185" spans="1:33" x14ac:dyDescent="0.3">
      <c r="A185" s="2"/>
      <c r="B185" s="2"/>
      <c r="C185" s="2"/>
      <c r="D185" s="2"/>
      <c r="E185" s="2"/>
      <c r="F185" s="2"/>
      <c r="G185" s="2"/>
      <c r="H185" s="2"/>
      <c r="I185" s="2"/>
      <c r="J185" s="2"/>
      <c r="K185" s="2"/>
      <c r="L185" s="2"/>
      <c r="M185" s="2"/>
      <c r="N185" s="2"/>
      <c r="O185" s="2"/>
      <c r="P185" s="2"/>
      <c r="Q185" s="2"/>
      <c r="R185" s="2"/>
      <c r="S185" s="2"/>
      <c r="T185" s="2"/>
      <c r="U185" s="61" t="s">
        <v>49</v>
      </c>
      <c r="V185" s="62">
        <v>1</v>
      </c>
    </row>
    <row r="186" spans="1:33" x14ac:dyDescent="0.3">
      <c r="A186" s="2"/>
      <c r="B186" s="2"/>
      <c r="C186" s="2"/>
      <c r="D186" s="2"/>
      <c r="E186" s="2"/>
      <c r="F186" s="2"/>
      <c r="G186" s="2"/>
      <c r="H186" s="2"/>
      <c r="I186" s="2"/>
      <c r="J186" s="2"/>
      <c r="K186" s="2"/>
      <c r="L186" s="2"/>
      <c r="M186" s="2"/>
      <c r="N186" s="2"/>
      <c r="O186" s="2"/>
      <c r="P186" s="2"/>
      <c r="Q186" s="2"/>
      <c r="R186" s="2"/>
      <c r="S186" s="2"/>
      <c r="T186" s="2"/>
      <c r="U186" s="61" t="s">
        <v>50</v>
      </c>
      <c r="V186" s="62">
        <v>0.67</v>
      </c>
    </row>
    <row r="187" spans="1:33" ht="14.4" customHeight="1" x14ac:dyDescent="0.3">
      <c r="A187" s="2"/>
      <c r="B187" s="2"/>
      <c r="C187" s="2"/>
      <c r="D187" s="2"/>
      <c r="E187" s="2"/>
      <c r="F187" s="2"/>
      <c r="G187" s="2"/>
      <c r="H187" s="2"/>
      <c r="I187" s="2"/>
      <c r="J187" s="2"/>
      <c r="K187" s="2"/>
      <c r="L187" s="2"/>
      <c r="M187" s="2"/>
      <c r="N187" s="2"/>
      <c r="O187" s="190" t="s">
        <v>427</v>
      </c>
      <c r="P187" s="191"/>
      <c r="Q187" s="191"/>
      <c r="R187" s="191"/>
      <c r="S187" s="191"/>
      <c r="T187" s="192"/>
      <c r="U187" s="61" t="s">
        <v>51</v>
      </c>
      <c r="V187" s="62">
        <v>1</v>
      </c>
    </row>
    <row r="188" spans="1:33" x14ac:dyDescent="0.3">
      <c r="A188" s="2"/>
      <c r="B188" s="2"/>
      <c r="C188" s="2"/>
      <c r="D188" s="2"/>
      <c r="E188" s="2"/>
      <c r="F188" s="2"/>
      <c r="G188" s="2"/>
      <c r="H188" s="2"/>
      <c r="I188" s="2"/>
      <c r="J188" s="2"/>
      <c r="K188" s="2"/>
      <c r="L188" s="2"/>
      <c r="M188" s="2"/>
      <c r="N188" s="2"/>
      <c r="O188" s="193"/>
      <c r="P188" s="194"/>
      <c r="Q188" s="194"/>
      <c r="R188" s="194"/>
      <c r="S188" s="194"/>
      <c r="T188" s="195"/>
      <c r="U188" s="61" t="s">
        <v>52</v>
      </c>
      <c r="V188" s="62">
        <v>0.81</v>
      </c>
    </row>
    <row r="189" spans="1:33" x14ac:dyDescent="0.3">
      <c r="A189" s="2"/>
      <c r="B189" s="2"/>
      <c r="C189" s="2"/>
      <c r="D189" s="2"/>
      <c r="E189" s="2"/>
      <c r="F189" s="2"/>
      <c r="G189" s="2"/>
      <c r="H189" s="2"/>
      <c r="I189" s="2"/>
      <c r="J189" s="2"/>
      <c r="K189" s="2"/>
      <c r="L189" s="2"/>
      <c r="M189" s="2"/>
      <c r="N189" s="2"/>
      <c r="O189" s="193"/>
      <c r="P189" s="194"/>
      <c r="Q189" s="194"/>
      <c r="R189" s="194"/>
      <c r="S189" s="194"/>
      <c r="T189" s="195"/>
      <c r="U189" s="61" t="s">
        <v>426</v>
      </c>
      <c r="V189" s="62">
        <v>0.75</v>
      </c>
    </row>
    <row r="190" spans="1:33" x14ac:dyDescent="0.3">
      <c r="A190" s="2"/>
      <c r="B190" s="2"/>
      <c r="C190" s="2"/>
      <c r="D190" s="2"/>
      <c r="E190" s="2"/>
      <c r="F190" s="2"/>
      <c r="G190" s="2"/>
      <c r="H190" s="2"/>
      <c r="I190" s="2"/>
      <c r="J190" s="2"/>
      <c r="K190" s="2"/>
      <c r="L190" s="2"/>
      <c r="M190" s="2"/>
      <c r="N190" s="2"/>
      <c r="O190" s="193"/>
      <c r="P190" s="194"/>
      <c r="Q190" s="194"/>
      <c r="R190" s="194"/>
      <c r="S190" s="194"/>
      <c r="T190" s="195"/>
      <c r="U190" s="61" t="s">
        <v>586</v>
      </c>
      <c r="V190" s="62">
        <v>1</v>
      </c>
    </row>
    <row r="191" spans="1:33" x14ac:dyDescent="0.3">
      <c r="A191" s="2"/>
      <c r="B191" s="2"/>
      <c r="C191" s="2"/>
      <c r="D191" s="2"/>
      <c r="E191" s="2"/>
      <c r="F191" s="2"/>
      <c r="G191" s="2"/>
      <c r="H191" s="2"/>
      <c r="I191" s="2"/>
      <c r="J191" s="2"/>
      <c r="K191" s="2"/>
      <c r="L191" s="2"/>
      <c r="M191" s="2"/>
      <c r="N191" s="2"/>
      <c r="O191" s="193"/>
      <c r="P191" s="194"/>
      <c r="Q191" s="194"/>
      <c r="R191" s="194"/>
      <c r="S191" s="194"/>
      <c r="T191" s="195"/>
      <c r="U191" s="61" t="s">
        <v>54</v>
      </c>
      <c r="V191" s="62">
        <v>0.83</v>
      </c>
    </row>
    <row r="192" spans="1:33" x14ac:dyDescent="0.3">
      <c r="A192" s="2"/>
      <c r="B192" s="2"/>
      <c r="C192" s="2"/>
      <c r="D192" s="2"/>
      <c r="E192" s="2"/>
      <c r="F192" s="2"/>
      <c r="G192" s="2"/>
      <c r="H192" s="2"/>
      <c r="I192" s="2"/>
      <c r="J192" s="2"/>
      <c r="K192" s="2"/>
      <c r="L192" s="2"/>
      <c r="M192" s="2"/>
      <c r="N192" s="2"/>
      <c r="O192" s="193"/>
      <c r="P192" s="194"/>
      <c r="Q192" s="194"/>
      <c r="R192" s="194"/>
      <c r="S192" s="194"/>
      <c r="T192" s="195"/>
      <c r="U192" s="61" t="s">
        <v>55</v>
      </c>
      <c r="V192" s="62">
        <v>0.86</v>
      </c>
    </row>
    <row r="193" spans="1:22" x14ac:dyDescent="0.3">
      <c r="A193" s="2"/>
      <c r="B193" s="2"/>
      <c r="C193" s="2"/>
      <c r="D193" s="2"/>
      <c r="E193" s="2"/>
      <c r="F193" s="2"/>
      <c r="G193" s="2"/>
      <c r="H193" s="2"/>
      <c r="I193" s="2"/>
      <c r="J193" s="2"/>
      <c r="K193" s="2"/>
      <c r="L193" s="2"/>
      <c r="M193" s="2"/>
      <c r="N193" s="2"/>
      <c r="O193" s="193"/>
      <c r="P193" s="194"/>
      <c r="Q193" s="194"/>
      <c r="R193" s="194"/>
      <c r="S193" s="194"/>
      <c r="T193" s="195"/>
      <c r="U193" s="61" t="s">
        <v>56</v>
      </c>
      <c r="V193" s="62">
        <v>0.83</v>
      </c>
    </row>
    <row r="194" spans="1:22" x14ac:dyDescent="0.3">
      <c r="A194" s="2"/>
      <c r="B194" s="2"/>
      <c r="C194" s="2"/>
      <c r="D194" s="2"/>
      <c r="E194" s="2"/>
      <c r="F194" s="2"/>
      <c r="G194" s="2"/>
      <c r="H194" s="2"/>
      <c r="I194" s="2"/>
      <c r="J194" s="2"/>
      <c r="K194" s="2"/>
      <c r="L194" s="2"/>
      <c r="M194" s="2"/>
      <c r="N194" s="2"/>
      <c r="O194" s="193"/>
      <c r="P194" s="194"/>
      <c r="Q194" s="194"/>
      <c r="R194" s="194"/>
      <c r="S194" s="194"/>
      <c r="T194" s="195"/>
      <c r="U194" s="61" t="s">
        <v>57</v>
      </c>
      <c r="V194" s="62">
        <v>0.78</v>
      </c>
    </row>
    <row r="195" spans="1:22" x14ac:dyDescent="0.3">
      <c r="A195" s="2"/>
      <c r="B195" s="2"/>
      <c r="C195" s="2"/>
      <c r="D195" s="2"/>
      <c r="E195" s="2"/>
      <c r="F195" s="2"/>
      <c r="G195" s="2"/>
      <c r="H195" s="2"/>
      <c r="I195" s="2"/>
      <c r="J195" s="2"/>
      <c r="K195" s="2"/>
      <c r="L195" s="2"/>
      <c r="M195" s="2"/>
      <c r="N195" s="2"/>
      <c r="O195" s="193"/>
      <c r="P195" s="194"/>
      <c r="Q195" s="194"/>
      <c r="R195" s="194"/>
      <c r="S195" s="194"/>
      <c r="T195" s="195"/>
      <c r="U195" s="61" t="s">
        <v>58</v>
      </c>
      <c r="V195" s="62">
        <v>1</v>
      </c>
    </row>
    <row r="196" spans="1:22" x14ac:dyDescent="0.3">
      <c r="A196" s="2"/>
      <c r="B196" s="2"/>
      <c r="C196" s="2"/>
      <c r="D196" s="2"/>
      <c r="E196" s="2"/>
      <c r="F196" s="2"/>
      <c r="G196" s="2"/>
      <c r="H196" s="2"/>
      <c r="I196" s="2"/>
      <c r="J196" s="2"/>
      <c r="K196" s="2"/>
      <c r="L196" s="2"/>
      <c r="M196" s="2"/>
      <c r="N196" s="2"/>
      <c r="O196" s="193"/>
      <c r="P196" s="194"/>
      <c r="Q196" s="194"/>
      <c r="R196" s="194"/>
      <c r="S196" s="194"/>
      <c r="T196" s="195"/>
      <c r="U196" s="61" t="s">
        <v>59</v>
      </c>
      <c r="V196" s="62">
        <v>0.89</v>
      </c>
    </row>
    <row r="197" spans="1:22" x14ac:dyDescent="0.3">
      <c r="A197" s="2"/>
      <c r="B197" s="2"/>
      <c r="C197" s="2"/>
      <c r="D197" s="2"/>
      <c r="E197" s="2"/>
      <c r="F197" s="2"/>
      <c r="G197" s="2"/>
      <c r="H197" s="2"/>
      <c r="I197" s="2"/>
      <c r="J197" s="2"/>
      <c r="K197" s="2"/>
      <c r="L197" s="2"/>
      <c r="M197" s="2"/>
      <c r="N197" s="2"/>
      <c r="O197" s="193"/>
      <c r="P197" s="194"/>
      <c r="Q197" s="194"/>
      <c r="R197" s="194"/>
      <c r="S197" s="194"/>
      <c r="T197" s="195"/>
      <c r="U197" s="61" t="s">
        <v>60</v>
      </c>
      <c r="V197" s="62">
        <v>1</v>
      </c>
    </row>
    <row r="198" spans="1:22" x14ac:dyDescent="0.3">
      <c r="A198" s="2"/>
      <c r="B198" s="2"/>
      <c r="C198" s="2"/>
      <c r="D198" s="2"/>
      <c r="E198" s="2"/>
      <c r="F198" s="2"/>
      <c r="G198" s="2"/>
      <c r="H198" s="2"/>
      <c r="I198" s="2"/>
      <c r="J198" s="2"/>
      <c r="K198" s="2"/>
      <c r="L198" s="2"/>
      <c r="M198" s="2"/>
      <c r="N198" s="2"/>
      <c r="O198" s="193"/>
      <c r="P198" s="194"/>
      <c r="Q198" s="194"/>
      <c r="R198" s="194"/>
      <c r="S198" s="194"/>
      <c r="T198" s="195"/>
      <c r="U198" s="61" t="s">
        <v>61</v>
      </c>
      <c r="V198" s="62">
        <v>1</v>
      </c>
    </row>
    <row r="199" spans="1:22" x14ac:dyDescent="0.3">
      <c r="A199" s="2"/>
      <c r="B199" s="2"/>
      <c r="C199" s="2"/>
      <c r="D199" s="2"/>
      <c r="E199" s="2"/>
      <c r="F199" s="2"/>
      <c r="G199" s="2"/>
      <c r="H199" s="2"/>
      <c r="I199" s="2"/>
      <c r="J199" s="2"/>
      <c r="K199" s="2"/>
      <c r="L199" s="2"/>
      <c r="M199" s="2"/>
      <c r="N199" s="2"/>
      <c r="O199" s="193"/>
      <c r="P199" s="194"/>
      <c r="Q199" s="194"/>
      <c r="R199" s="194"/>
      <c r="S199" s="194"/>
      <c r="T199" s="195"/>
      <c r="U199" s="61" t="s">
        <v>62</v>
      </c>
      <c r="V199" s="62">
        <v>0.56000000000000005</v>
      </c>
    </row>
    <row r="200" spans="1:22" x14ac:dyDescent="0.3">
      <c r="A200" s="2"/>
      <c r="B200" s="2"/>
      <c r="C200" s="2"/>
      <c r="D200" s="2"/>
      <c r="E200" s="2"/>
      <c r="F200" s="2"/>
      <c r="G200" s="2"/>
      <c r="H200" s="2"/>
      <c r="I200" s="2"/>
      <c r="J200" s="2"/>
      <c r="K200" s="2"/>
      <c r="L200" s="2"/>
      <c r="M200" s="2"/>
      <c r="N200" s="2"/>
      <c r="O200" s="193"/>
      <c r="P200" s="194"/>
      <c r="Q200" s="194"/>
      <c r="R200" s="194"/>
      <c r="S200" s="194"/>
      <c r="T200" s="195"/>
      <c r="U200" s="61" t="s">
        <v>63</v>
      </c>
      <c r="V200" s="62">
        <v>0.82</v>
      </c>
    </row>
    <row r="201" spans="1:22" x14ac:dyDescent="0.3">
      <c r="A201" s="2"/>
      <c r="B201" s="2"/>
      <c r="C201" s="2"/>
      <c r="D201" s="2"/>
      <c r="E201" s="2"/>
      <c r="F201" s="2"/>
      <c r="G201" s="2"/>
      <c r="H201" s="2"/>
      <c r="I201" s="2"/>
      <c r="J201" s="2"/>
      <c r="K201" s="2"/>
      <c r="L201" s="2"/>
      <c r="M201" s="2"/>
      <c r="N201" s="2"/>
      <c r="O201" s="193"/>
      <c r="P201" s="194"/>
      <c r="Q201" s="194"/>
      <c r="R201" s="194"/>
      <c r="S201" s="194"/>
      <c r="T201" s="195"/>
      <c r="U201" s="61" t="s">
        <v>64</v>
      </c>
      <c r="V201" s="62">
        <v>1</v>
      </c>
    </row>
    <row r="202" spans="1:22" x14ac:dyDescent="0.3">
      <c r="A202" s="2"/>
      <c r="B202" s="2"/>
      <c r="C202" s="2"/>
      <c r="D202" s="2"/>
      <c r="E202" s="2"/>
      <c r="F202" s="2"/>
      <c r="G202" s="2"/>
      <c r="H202" s="2"/>
      <c r="I202" s="2"/>
      <c r="J202" s="2"/>
      <c r="K202" s="2"/>
      <c r="L202" s="2"/>
      <c r="M202" s="2"/>
      <c r="N202" s="2"/>
      <c r="O202" s="193"/>
      <c r="P202" s="194"/>
      <c r="Q202" s="194"/>
      <c r="R202" s="194"/>
      <c r="S202" s="194"/>
      <c r="T202" s="195"/>
      <c r="U202" s="61" t="s">
        <v>53</v>
      </c>
      <c r="V202" s="62">
        <v>0.83</v>
      </c>
    </row>
    <row r="203" spans="1:22" x14ac:dyDescent="0.3">
      <c r="A203" s="2"/>
      <c r="B203" s="2"/>
      <c r="C203" s="2"/>
      <c r="D203" s="2"/>
      <c r="E203" s="2"/>
      <c r="F203" s="2"/>
      <c r="G203" s="2"/>
      <c r="H203" s="2"/>
      <c r="I203" s="2"/>
      <c r="J203" s="2"/>
      <c r="K203" s="2"/>
      <c r="L203" s="2"/>
      <c r="M203" s="2"/>
      <c r="N203" s="2"/>
      <c r="O203" s="193"/>
      <c r="P203" s="194"/>
      <c r="Q203" s="194"/>
      <c r="R203" s="194"/>
      <c r="S203" s="194"/>
      <c r="T203" s="195"/>
      <c r="U203" s="61" t="s">
        <v>65</v>
      </c>
      <c r="V203" s="62">
        <v>0.6</v>
      </c>
    </row>
    <row r="204" spans="1:22" x14ac:dyDescent="0.3">
      <c r="A204" s="2"/>
      <c r="B204" s="2"/>
      <c r="C204" s="2"/>
      <c r="D204" s="2"/>
      <c r="E204" s="2"/>
      <c r="F204" s="2"/>
      <c r="G204" s="2"/>
      <c r="H204" s="2"/>
      <c r="I204" s="2"/>
      <c r="J204" s="2"/>
      <c r="K204" s="2"/>
      <c r="L204" s="2"/>
      <c r="M204" s="2"/>
      <c r="N204" s="2"/>
      <c r="O204" s="193"/>
      <c r="P204" s="194"/>
      <c r="Q204" s="194"/>
      <c r="R204" s="194"/>
      <c r="S204" s="194"/>
      <c r="T204" s="195"/>
      <c r="U204" s="61" t="s">
        <v>66</v>
      </c>
      <c r="V204" s="62">
        <v>0.92</v>
      </c>
    </row>
    <row r="205" spans="1:22" x14ac:dyDescent="0.3">
      <c r="A205" s="2"/>
      <c r="B205" s="2"/>
      <c r="C205" s="2"/>
      <c r="D205" s="2"/>
      <c r="E205" s="2"/>
      <c r="F205" s="2"/>
      <c r="G205" s="2"/>
      <c r="H205" s="2"/>
      <c r="I205" s="2"/>
      <c r="J205" s="2"/>
      <c r="K205" s="2"/>
      <c r="L205" s="2"/>
      <c r="M205" s="2"/>
      <c r="N205" s="2"/>
      <c r="O205" s="193"/>
      <c r="P205" s="194"/>
      <c r="Q205" s="194"/>
      <c r="R205" s="194"/>
      <c r="S205" s="194"/>
      <c r="T205" s="195"/>
      <c r="U205" s="61" t="s">
        <v>67</v>
      </c>
      <c r="V205" s="62">
        <v>0.85</v>
      </c>
    </row>
    <row r="206" spans="1:22" x14ac:dyDescent="0.3">
      <c r="A206" s="2"/>
      <c r="B206" s="2"/>
      <c r="C206" s="2"/>
      <c r="D206" s="2"/>
      <c r="E206" s="2"/>
      <c r="F206" s="2"/>
      <c r="G206" s="2"/>
      <c r="H206" s="2"/>
      <c r="I206" s="2"/>
      <c r="J206" s="2"/>
      <c r="K206" s="2"/>
      <c r="L206" s="2"/>
      <c r="M206" s="2"/>
      <c r="N206" s="2"/>
      <c r="O206" s="193"/>
      <c r="P206" s="194"/>
      <c r="Q206" s="194"/>
      <c r="R206" s="194"/>
      <c r="S206" s="194"/>
      <c r="T206" s="195"/>
      <c r="U206" s="61" t="s">
        <v>420</v>
      </c>
      <c r="V206" s="62">
        <v>0.9</v>
      </c>
    </row>
    <row r="207" spans="1:22" x14ac:dyDescent="0.3">
      <c r="A207" s="2"/>
      <c r="B207" s="2"/>
      <c r="C207" s="2"/>
      <c r="D207" s="2"/>
      <c r="E207" s="2"/>
      <c r="F207" s="2"/>
      <c r="G207" s="2"/>
      <c r="H207" s="2"/>
      <c r="I207" s="2"/>
      <c r="J207" s="2"/>
      <c r="K207" s="2"/>
      <c r="L207" s="2"/>
      <c r="M207" s="2"/>
      <c r="N207" s="2"/>
      <c r="O207" s="193"/>
      <c r="P207" s="194"/>
      <c r="Q207" s="194"/>
      <c r="R207" s="194"/>
      <c r="S207" s="194"/>
      <c r="T207" s="195"/>
      <c r="U207" s="61" t="s">
        <v>68</v>
      </c>
      <c r="V207" s="62">
        <v>0.79</v>
      </c>
    </row>
    <row r="208" spans="1:22" x14ac:dyDescent="0.3">
      <c r="A208" s="2"/>
      <c r="B208" s="2"/>
      <c r="C208" s="2"/>
      <c r="D208" s="2"/>
      <c r="E208" s="2"/>
      <c r="F208" s="2"/>
      <c r="G208" s="2"/>
      <c r="H208" s="2"/>
      <c r="I208" s="2"/>
      <c r="J208" s="2"/>
      <c r="K208" s="2"/>
      <c r="L208" s="2"/>
      <c r="M208" s="2"/>
      <c r="N208" s="2"/>
      <c r="O208" s="193"/>
      <c r="P208" s="194"/>
      <c r="Q208" s="194"/>
      <c r="R208" s="194"/>
      <c r="S208" s="194"/>
      <c r="T208" s="195"/>
      <c r="U208" s="61" t="s">
        <v>69</v>
      </c>
      <c r="V208" s="62">
        <v>0.71</v>
      </c>
    </row>
    <row r="209" spans="1:22" x14ac:dyDescent="0.3">
      <c r="A209" s="2"/>
      <c r="B209" s="2"/>
      <c r="C209" s="2"/>
      <c r="D209" s="2"/>
      <c r="E209" s="2"/>
      <c r="F209" s="2"/>
      <c r="G209" s="2"/>
      <c r="H209" s="2"/>
      <c r="I209" s="2"/>
      <c r="J209" s="2"/>
      <c r="K209" s="2"/>
      <c r="L209" s="2"/>
      <c r="M209" s="2"/>
      <c r="N209" s="2"/>
      <c r="O209" s="193"/>
      <c r="P209" s="194"/>
      <c r="Q209" s="194"/>
      <c r="R209" s="194"/>
      <c r="S209" s="194"/>
      <c r="T209" s="195"/>
      <c r="U209" s="61" t="s">
        <v>70</v>
      </c>
      <c r="V209" s="62">
        <v>0.91</v>
      </c>
    </row>
    <row r="210" spans="1:22" x14ac:dyDescent="0.3">
      <c r="A210" s="2"/>
      <c r="B210" s="2"/>
      <c r="C210" s="2"/>
      <c r="D210" s="2"/>
      <c r="E210" s="2"/>
      <c r="F210" s="2"/>
      <c r="G210" s="2"/>
      <c r="H210" s="2"/>
      <c r="I210" s="2"/>
      <c r="J210" s="2"/>
      <c r="K210" s="2"/>
      <c r="L210" s="2"/>
      <c r="M210" s="2"/>
      <c r="N210" s="2"/>
      <c r="O210" s="193"/>
      <c r="P210" s="194"/>
      <c r="Q210" s="194"/>
      <c r="R210" s="194"/>
      <c r="S210" s="194"/>
      <c r="T210" s="195"/>
      <c r="U210" s="61" t="s">
        <v>421</v>
      </c>
      <c r="V210" s="62">
        <v>1</v>
      </c>
    </row>
    <row r="211" spans="1:22" x14ac:dyDescent="0.3">
      <c r="A211" s="2"/>
      <c r="B211" s="2"/>
      <c r="C211" s="2"/>
      <c r="D211" s="2"/>
      <c r="E211" s="2"/>
      <c r="F211" s="2"/>
      <c r="G211" s="2"/>
      <c r="H211" s="2"/>
      <c r="I211" s="2"/>
      <c r="J211" s="2"/>
      <c r="K211" s="2"/>
      <c r="L211" s="2"/>
      <c r="M211" s="2"/>
      <c r="N211" s="2"/>
      <c r="O211" s="193"/>
      <c r="P211" s="194"/>
      <c r="Q211" s="194"/>
      <c r="R211" s="194"/>
      <c r="S211" s="194"/>
      <c r="T211" s="195"/>
      <c r="U211" s="61" t="s">
        <v>72</v>
      </c>
      <c r="V211" s="62">
        <v>0.78</v>
      </c>
    </row>
    <row r="212" spans="1:22" x14ac:dyDescent="0.3">
      <c r="A212" s="2"/>
      <c r="B212" s="2"/>
      <c r="C212" s="2"/>
      <c r="D212" s="2"/>
      <c r="E212" s="2"/>
      <c r="F212" s="2"/>
      <c r="G212" s="2"/>
      <c r="H212" s="2"/>
      <c r="I212" s="2"/>
      <c r="J212" s="2"/>
      <c r="K212" s="2"/>
      <c r="L212" s="2"/>
      <c r="M212" s="2"/>
      <c r="N212" s="2"/>
      <c r="O212" s="193"/>
      <c r="P212" s="194"/>
      <c r="Q212" s="194"/>
      <c r="R212" s="194"/>
      <c r="S212" s="194"/>
      <c r="T212" s="195"/>
      <c r="U212" s="61" t="s">
        <v>73</v>
      </c>
      <c r="V212" s="62">
        <v>0.82</v>
      </c>
    </row>
    <row r="213" spans="1:22" x14ac:dyDescent="0.3">
      <c r="A213" s="2"/>
      <c r="B213" s="2"/>
      <c r="C213" s="2"/>
      <c r="D213" s="2"/>
      <c r="E213" s="2"/>
      <c r="F213" s="2"/>
      <c r="G213" s="2"/>
      <c r="H213" s="2"/>
      <c r="I213" s="2"/>
      <c r="J213" s="2"/>
      <c r="K213" s="2"/>
      <c r="L213" s="2"/>
      <c r="M213" s="2"/>
      <c r="N213" s="2"/>
      <c r="O213" s="193"/>
      <c r="P213" s="194"/>
      <c r="Q213" s="194"/>
      <c r="R213" s="194"/>
      <c r="S213" s="194"/>
      <c r="T213" s="195"/>
      <c r="U213" s="61" t="s">
        <v>74</v>
      </c>
      <c r="V213" s="62">
        <v>0.73</v>
      </c>
    </row>
    <row r="214" spans="1:22" x14ac:dyDescent="0.3">
      <c r="A214" s="2"/>
      <c r="B214" s="2"/>
      <c r="C214" s="2"/>
      <c r="D214" s="2"/>
      <c r="E214" s="2"/>
      <c r="F214" s="2"/>
      <c r="G214" s="2"/>
      <c r="H214" s="2"/>
      <c r="I214" s="2"/>
      <c r="J214" s="2"/>
      <c r="K214" s="2"/>
      <c r="L214" s="2"/>
      <c r="M214" s="2"/>
      <c r="N214" s="2"/>
      <c r="O214" s="193"/>
      <c r="P214" s="194"/>
      <c r="Q214" s="194"/>
      <c r="R214" s="194"/>
      <c r="S214" s="194"/>
      <c r="T214" s="195"/>
      <c r="U214" s="61" t="s">
        <v>75</v>
      </c>
      <c r="V214" s="62">
        <v>0.67</v>
      </c>
    </row>
    <row r="215" spans="1:22" x14ac:dyDescent="0.3">
      <c r="A215" s="2"/>
      <c r="B215" s="2"/>
      <c r="C215" s="2"/>
      <c r="D215" s="2"/>
      <c r="E215" s="2"/>
      <c r="F215" s="2"/>
      <c r="G215" s="2"/>
      <c r="H215" s="2"/>
      <c r="I215" s="2"/>
      <c r="J215" s="2"/>
      <c r="K215" s="2"/>
      <c r="L215" s="2"/>
      <c r="M215" s="2"/>
      <c r="N215" s="2"/>
      <c r="O215" s="193"/>
      <c r="P215" s="194"/>
      <c r="Q215" s="194"/>
      <c r="R215" s="194"/>
      <c r="S215" s="194"/>
      <c r="T215" s="195"/>
      <c r="U215" s="61" t="s">
        <v>76</v>
      </c>
      <c r="V215" s="62">
        <v>0.83</v>
      </c>
    </row>
    <row r="216" spans="1:22" x14ac:dyDescent="0.3">
      <c r="A216" s="2"/>
      <c r="B216" s="2"/>
      <c r="C216" s="2"/>
      <c r="D216" s="2"/>
      <c r="E216" s="2"/>
      <c r="F216" s="2"/>
      <c r="G216" s="2"/>
      <c r="H216" s="2"/>
      <c r="I216" s="2"/>
      <c r="J216" s="2"/>
      <c r="K216" s="2"/>
      <c r="L216" s="2"/>
      <c r="M216" s="2"/>
      <c r="N216" s="2"/>
      <c r="O216" s="193"/>
      <c r="P216" s="194"/>
      <c r="Q216" s="194"/>
      <c r="R216" s="194"/>
      <c r="S216" s="194"/>
      <c r="T216" s="195"/>
      <c r="U216" s="61" t="s">
        <v>77</v>
      </c>
      <c r="V216" s="62">
        <v>0.83</v>
      </c>
    </row>
    <row r="217" spans="1:22" x14ac:dyDescent="0.3">
      <c r="A217" s="2"/>
      <c r="B217" s="2"/>
      <c r="C217" s="2"/>
      <c r="D217" s="2"/>
      <c r="E217" s="2"/>
      <c r="F217" s="2"/>
      <c r="G217" s="2"/>
      <c r="H217" s="2"/>
      <c r="I217" s="2"/>
      <c r="J217" s="2"/>
      <c r="K217" s="2"/>
      <c r="L217" s="2"/>
      <c r="M217" s="2"/>
      <c r="N217" s="2"/>
      <c r="O217" s="193"/>
      <c r="P217" s="194"/>
      <c r="Q217" s="194"/>
      <c r="R217" s="194"/>
      <c r="S217" s="194"/>
      <c r="T217" s="195"/>
      <c r="U217" s="61" t="s">
        <v>78</v>
      </c>
      <c r="V217" s="62">
        <v>0.78</v>
      </c>
    </row>
    <row r="218" spans="1:22" x14ac:dyDescent="0.3">
      <c r="A218" s="2"/>
      <c r="B218" s="2"/>
      <c r="C218" s="2"/>
      <c r="D218" s="2"/>
      <c r="E218" s="2"/>
      <c r="F218" s="2"/>
      <c r="G218" s="2"/>
      <c r="H218" s="2"/>
      <c r="I218" s="2"/>
      <c r="J218" s="2"/>
      <c r="K218" s="2"/>
      <c r="L218" s="2"/>
      <c r="M218" s="2"/>
      <c r="N218" s="2"/>
      <c r="O218" s="193"/>
      <c r="P218" s="194"/>
      <c r="Q218" s="194"/>
      <c r="R218" s="194"/>
      <c r="S218" s="194"/>
      <c r="T218" s="195"/>
      <c r="U218" s="61" t="s">
        <v>79</v>
      </c>
      <c r="V218" s="62">
        <v>0.78</v>
      </c>
    </row>
    <row r="219" spans="1:22" x14ac:dyDescent="0.3">
      <c r="A219" s="2"/>
      <c r="B219" s="2"/>
      <c r="C219" s="2"/>
      <c r="D219" s="2"/>
      <c r="E219" s="2"/>
      <c r="F219" s="2"/>
      <c r="G219" s="2"/>
      <c r="H219" s="2"/>
      <c r="I219" s="2"/>
      <c r="J219" s="2"/>
      <c r="K219" s="2"/>
      <c r="L219" s="2"/>
      <c r="M219" s="2"/>
      <c r="N219" s="2"/>
      <c r="O219" s="193"/>
      <c r="P219" s="194"/>
      <c r="Q219" s="194"/>
      <c r="R219" s="194"/>
      <c r="S219" s="194"/>
      <c r="T219" s="195"/>
      <c r="U219" s="61" t="s">
        <v>80</v>
      </c>
      <c r="V219" s="62">
        <v>0.75</v>
      </c>
    </row>
    <row r="220" spans="1:22" x14ac:dyDescent="0.3">
      <c r="A220" s="2"/>
      <c r="B220" s="2"/>
      <c r="C220" s="2"/>
      <c r="D220" s="2"/>
      <c r="E220" s="2"/>
      <c r="F220" s="2"/>
      <c r="G220" s="2"/>
      <c r="H220" s="2"/>
      <c r="I220" s="2"/>
      <c r="J220" s="2"/>
      <c r="K220" s="2"/>
      <c r="L220" s="2"/>
      <c r="M220" s="2"/>
      <c r="N220" s="2"/>
      <c r="O220" s="193"/>
      <c r="P220" s="194"/>
      <c r="Q220" s="194"/>
      <c r="R220" s="194"/>
      <c r="S220" s="194"/>
      <c r="T220" s="195"/>
      <c r="U220" s="61" t="s">
        <v>81</v>
      </c>
      <c r="V220" s="62">
        <v>0.8</v>
      </c>
    </row>
    <row r="221" spans="1:22" x14ac:dyDescent="0.3">
      <c r="A221" s="2"/>
      <c r="B221" s="2"/>
      <c r="C221" s="2"/>
      <c r="D221" s="2"/>
      <c r="E221" s="2"/>
      <c r="F221" s="2"/>
      <c r="G221" s="2"/>
      <c r="H221" s="2"/>
      <c r="I221" s="2"/>
      <c r="J221" s="2"/>
      <c r="K221" s="2"/>
      <c r="L221" s="2"/>
      <c r="M221" s="2"/>
      <c r="N221" s="2"/>
      <c r="O221" s="193"/>
      <c r="P221" s="194"/>
      <c r="Q221" s="194"/>
      <c r="R221" s="194"/>
      <c r="S221" s="194"/>
      <c r="T221" s="195"/>
      <c r="U221" s="61" t="s">
        <v>82</v>
      </c>
      <c r="V221" s="62">
        <v>0.89</v>
      </c>
    </row>
    <row r="222" spans="1:22" x14ac:dyDescent="0.3">
      <c r="A222" s="2"/>
      <c r="B222" s="2"/>
      <c r="C222" s="2"/>
      <c r="D222" s="2"/>
      <c r="E222" s="2"/>
      <c r="F222" s="2"/>
      <c r="G222" s="2"/>
      <c r="H222" s="2"/>
      <c r="I222" s="2"/>
      <c r="J222" s="2"/>
      <c r="K222" s="2"/>
      <c r="L222" s="2"/>
      <c r="M222" s="2"/>
      <c r="N222" s="2"/>
      <c r="O222" s="193"/>
      <c r="P222" s="194"/>
      <c r="Q222" s="194"/>
      <c r="R222" s="194"/>
      <c r="S222" s="194"/>
      <c r="T222" s="195"/>
      <c r="U222" s="61" t="s">
        <v>71</v>
      </c>
      <c r="V222" s="62">
        <v>0.75</v>
      </c>
    </row>
    <row r="223" spans="1:22" x14ac:dyDescent="0.3">
      <c r="A223" s="2"/>
      <c r="B223" s="2"/>
      <c r="C223" s="2"/>
      <c r="D223" s="2"/>
      <c r="E223" s="2"/>
      <c r="F223" s="2"/>
      <c r="G223" s="2"/>
      <c r="H223" s="2"/>
      <c r="I223" s="2"/>
      <c r="J223" s="2"/>
      <c r="K223" s="2"/>
      <c r="L223" s="2"/>
      <c r="M223" s="2"/>
      <c r="N223" s="2"/>
      <c r="O223" s="193"/>
      <c r="P223" s="194"/>
      <c r="Q223" s="194"/>
      <c r="R223" s="194"/>
      <c r="S223" s="194"/>
      <c r="T223" s="195"/>
      <c r="U223" s="61" t="s">
        <v>83</v>
      </c>
      <c r="V223" s="62">
        <v>0.93</v>
      </c>
    </row>
    <row r="224" spans="1:22" x14ac:dyDescent="0.3">
      <c r="A224" s="2"/>
      <c r="B224" s="2"/>
      <c r="C224" s="54"/>
      <c r="D224" s="2"/>
      <c r="E224" s="2"/>
      <c r="F224" s="2"/>
      <c r="G224" s="2"/>
      <c r="H224" s="2"/>
      <c r="I224" s="2"/>
      <c r="J224" s="2"/>
      <c r="K224" s="2"/>
      <c r="L224" s="2"/>
      <c r="M224" s="2"/>
      <c r="N224" s="2"/>
      <c r="O224" s="196"/>
      <c r="P224" s="197"/>
      <c r="Q224" s="197"/>
      <c r="R224" s="197"/>
      <c r="S224" s="197"/>
      <c r="T224" s="198"/>
      <c r="U224" s="61" t="s">
        <v>84</v>
      </c>
      <c r="V224" s="62">
        <v>0.88</v>
      </c>
    </row>
    <row r="225" spans="1:22" x14ac:dyDescent="0.3">
      <c r="A225" s="2"/>
      <c r="B225" s="2"/>
      <c r="C225" s="2"/>
      <c r="D225" s="2"/>
      <c r="E225" s="2"/>
      <c r="F225" s="2"/>
      <c r="G225" s="2"/>
      <c r="H225" s="2"/>
      <c r="I225" s="2"/>
      <c r="J225" s="2"/>
      <c r="K225" s="2"/>
      <c r="L225" s="2"/>
      <c r="M225" s="2"/>
      <c r="N225" s="2"/>
      <c r="O225" s="2"/>
      <c r="P225" s="2"/>
      <c r="Q225" s="2"/>
      <c r="R225" s="2"/>
      <c r="S225" s="2"/>
      <c r="T225" s="2"/>
      <c r="U225" s="61" t="s">
        <v>85</v>
      </c>
      <c r="V225" s="62">
        <v>0.89</v>
      </c>
    </row>
    <row r="226" spans="1:22" x14ac:dyDescent="0.3">
      <c r="A226" s="2"/>
      <c r="B226" s="2"/>
      <c r="C226" s="2"/>
      <c r="D226" s="2"/>
      <c r="E226" s="2"/>
      <c r="F226" s="2"/>
      <c r="G226" s="2"/>
      <c r="H226" s="2"/>
      <c r="I226" s="2"/>
      <c r="J226" s="2"/>
      <c r="K226" s="2"/>
      <c r="L226" s="2"/>
      <c r="M226" s="2"/>
      <c r="N226" s="2"/>
      <c r="O226" s="2"/>
      <c r="P226" s="2"/>
      <c r="Q226" s="2"/>
      <c r="R226" s="2"/>
      <c r="S226" s="2"/>
      <c r="T226" s="2"/>
      <c r="U226" s="61" t="s">
        <v>1098</v>
      </c>
      <c r="V226" s="62">
        <v>0.7</v>
      </c>
    </row>
    <row r="227" spans="1:22" x14ac:dyDescent="0.3">
      <c r="A227" s="2"/>
      <c r="B227" s="2"/>
      <c r="C227" s="2"/>
      <c r="D227" s="2"/>
      <c r="E227" s="2"/>
      <c r="F227" s="2"/>
      <c r="G227" s="2"/>
      <c r="H227" s="2"/>
      <c r="I227" s="2"/>
      <c r="J227" s="2"/>
      <c r="K227" s="2"/>
      <c r="L227" s="2"/>
      <c r="M227" s="2"/>
      <c r="N227" s="2"/>
      <c r="O227" s="2"/>
      <c r="P227" s="2"/>
      <c r="Q227" s="2"/>
      <c r="R227" s="2"/>
      <c r="S227" s="2"/>
      <c r="T227" s="2"/>
      <c r="U227" s="2"/>
      <c r="V227" s="54"/>
    </row>
    <row r="228" spans="1:22" x14ac:dyDescent="0.3">
      <c r="A228" s="2"/>
      <c r="B228" s="2"/>
      <c r="C228" s="2"/>
      <c r="D228" s="2"/>
      <c r="E228" s="2"/>
      <c r="F228" s="2"/>
      <c r="G228" s="2"/>
      <c r="H228" s="2"/>
      <c r="I228" s="2"/>
      <c r="J228" s="2"/>
      <c r="K228" s="2"/>
      <c r="L228" s="2"/>
      <c r="M228" s="2"/>
      <c r="N228" s="2"/>
      <c r="O228" s="2"/>
      <c r="P228" s="2"/>
      <c r="Q228" s="2"/>
      <c r="R228" s="2"/>
      <c r="S228" s="2"/>
      <c r="T228" s="2"/>
      <c r="U228" s="2"/>
      <c r="V228" s="2"/>
    </row>
    <row r="229" spans="1:22" x14ac:dyDescent="0.3">
      <c r="A229" s="2"/>
      <c r="B229" s="2"/>
      <c r="C229" s="2"/>
      <c r="D229" s="2"/>
      <c r="E229" s="2"/>
      <c r="F229" s="2"/>
      <c r="G229" s="2"/>
      <c r="H229" s="2"/>
      <c r="I229" s="2"/>
      <c r="J229" s="2"/>
      <c r="K229" s="2"/>
      <c r="L229" s="2"/>
      <c r="M229" s="2"/>
      <c r="N229" s="2"/>
      <c r="O229" s="181" t="s">
        <v>424</v>
      </c>
      <c r="P229" s="182"/>
      <c r="Q229" s="182"/>
      <c r="R229" s="182"/>
      <c r="S229" s="182"/>
      <c r="T229" s="183"/>
      <c r="U229" s="2"/>
      <c r="V229" s="2"/>
    </row>
    <row r="230" spans="1:22" x14ac:dyDescent="0.3">
      <c r="A230" s="2"/>
      <c r="B230" s="2"/>
      <c r="C230" s="2"/>
      <c r="D230" s="2"/>
      <c r="E230" s="2"/>
      <c r="F230" s="2"/>
      <c r="G230" s="2"/>
      <c r="H230" s="2"/>
      <c r="I230" s="2"/>
      <c r="J230" s="2"/>
      <c r="K230" s="2"/>
      <c r="L230" s="2"/>
      <c r="M230" s="2"/>
      <c r="N230" s="2"/>
      <c r="O230" s="184"/>
      <c r="P230" s="185"/>
      <c r="Q230" s="185"/>
      <c r="R230" s="185"/>
      <c r="S230" s="185"/>
      <c r="T230" s="186"/>
      <c r="U230" s="2"/>
      <c r="V230" s="2"/>
    </row>
    <row r="231" spans="1:22" x14ac:dyDescent="0.3">
      <c r="A231" s="2"/>
      <c r="B231" s="2"/>
      <c r="C231" s="2"/>
      <c r="D231" s="2"/>
      <c r="E231" s="2"/>
      <c r="F231" s="2"/>
      <c r="G231" s="2"/>
      <c r="H231" s="2"/>
      <c r="I231" s="2"/>
      <c r="J231" s="2"/>
      <c r="K231" s="2"/>
      <c r="L231" s="2"/>
      <c r="M231" s="2"/>
      <c r="N231" s="2"/>
      <c r="O231" s="187"/>
      <c r="P231" s="188"/>
      <c r="Q231" s="188"/>
      <c r="R231" s="188"/>
      <c r="S231" s="188"/>
      <c r="T231" s="189"/>
      <c r="U231" s="2"/>
      <c r="V231" s="2"/>
    </row>
    <row r="232" spans="1:22" x14ac:dyDescent="0.3">
      <c r="A232" s="2"/>
      <c r="B232" s="2"/>
      <c r="C232" s="2"/>
      <c r="D232" s="2"/>
      <c r="E232" s="2"/>
      <c r="F232" s="2"/>
      <c r="G232" s="2"/>
      <c r="H232" s="2"/>
      <c r="I232" s="2"/>
      <c r="J232" s="2"/>
      <c r="K232" s="2"/>
      <c r="L232" s="2"/>
      <c r="M232" s="2"/>
      <c r="N232" s="2"/>
      <c r="O232" s="2"/>
      <c r="P232" s="2"/>
      <c r="Q232" s="2"/>
      <c r="R232" s="2"/>
      <c r="S232" s="2"/>
      <c r="T232" s="2"/>
      <c r="U232" s="2"/>
      <c r="V232" s="2"/>
    </row>
    <row r="233" spans="1:22" x14ac:dyDescent="0.3">
      <c r="A233" s="2"/>
      <c r="B233" s="2"/>
      <c r="C233" s="2"/>
      <c r="D233" s="54"/>
      <c r="E233" s="2"/>
      <c r="F233" s="2"/>
      <c r="G233" s="2"/>
      <c r="H233" s="2"/>
      <c r="I233" s="2"/>
      <c r="J233" s="2"/>
      <c r="K233" s="2"/>
      <c r="L233" s="2"/>
      <c r="M233" s="2"/>
      <c r="N233" s="2"/>
      <c r="O233" s="2"/>
      <c r="P233" s="2"/>
      <c r="Q233" s="2"/>
      <c r="R233" s="2"/>
      <c r="S233" s="2"/>
      <c r="T233" s="2"/>
      <c r="U233" s="2"/>
      <c r="V233" s="2"/>
    </row>
    <row r="234" spans="1:22" ht="14.4" customHeight="1" x14ac:dyDescent="0.3">
      <c r="A234" s="2"/>
      <c r="B234" s="2"/>
      <c r="C234" s="2"/>
      <c r="D234" s="2"/>
      <c r="E234" s="2"/>
      <c r="F234" s="2"/>
      <c r="G234" s="2"/>
      <c r="H234" s="2"/>
      <c r="I234" s="2"/>
      <c r="J234" s="2"/>
      <c r="K234" s="2"/>
      <c r="L234" s="2"/>
      <c r="M234" s="2"/>
      <c r="N234" s="2"/>
      <c r="O234" s="190" t="s">
        <v>587</v>
      </c>
      <c r="P234" s="191"/>
      <c r="Q234" s="191"/>
      <c r="R234" s="191"/>
      <c r="S234" s="191"/>
      <c r="T234" s="192"/>
      <c r="U234" s="2"/>
      <c r="V234" s="2"/>
    </row>
    <row r="235" spans="1:22" x14ac:dyDescent="0.3">
      <c r="A235" s="2"/>
      <c r="B235" s="2"/>
      <c r="C235" s="2"/>
      <c r="D235" s="2"/>
      <c r="E235" s="2"/>
      <c r="F235" s="2"/>
      <c r="G235" s="2"/>
      <c r="H235" s="2"/>
      <c r="I235" s="2"/>
      <c r="J235" s="2"/>
      <c r="K235" s="2"/>
      <c r="L235" s="2"/>
      <c r="M235" s="2"/>
      <c r="N235" s="2"/>
      <c r="O235" s="193"/>
      <c r="P235" s="194"/>
      <c r="Q235" s="194"/>
      <c r="R235" s="194"/>
      <c r="S235" s="194"/>
      <c r="T235" s="195"/>
      <c r="U235" s="2"/>
      <c r="V235" s="2"/>
    </row>
    <row r="236" spans="1:22" x14ac:dyDescent="0.3">
      <c r="A236" s="2"/>
      <c r="B236" s="2"/>
      <c r="C236" s="2"/>
      <c r="D236" s="2"/>
      <c r="E236" s="2"/>
      <c r="F236" s="2"/>
      <c r="G236" s="2"/>
      <c r="H236" s="2"/>
      <c r="I236" s="2"/>
      <c r="J236" s="2"/>
      <c r="K236" s="2"/>
      <c r="L236" s="2"/>
      <c r="M236" s="2"/>
      <c r="N236" s="2"/>
      <c r="O236" s="193"/>
      <c r="P236" s="194"/>
      <c r="Q236" s="194"/>
      <c r="R236" s="194"/>
      <c r="S236" s="194"/>
      <c r="T236" s="195"/>
      <c r="U236" s="2"/>
      <c r="V236" s="2"/>
    </row>
    <row r="237" spans="1:22" x14ac:dyDescent="0.3">
      <c r="A237" s="2"/>
      <c r="B237" s="2"/>
      <c r="C237" s="2"/>
      <c r="D237" s="2"/>
      <c r="E237" s="2"/>
      <c r="F237" s="2"/>
      <c r="G237" s="2"/>
      <c r="H237" s="2"/>
      <c r="I237" s="2"/>
      <c r="J237" s="2"/>
      <c r="K237" s="2"/>
      <c r="L237" s="2"/>
      <c r="M237" s="2"/>
      <c r="N237" s="2"/>
      <c r="O237" s="193"/>
      <c r="P237" s="194"/>
      <c r="Q237" s="194"/>
      <c r="R237" s="194"/>
      <c r="S237" s="194"/>
      <c r="T237" s="195"/>
      <c r="U237" s="2"/>
      <c r="V237" s="2"/>
    </row>
    <row r="238" spans="1:22" x14ac:dyDescent="0.3">
      <c r="A238" s="2"/>
      <c r="B238" s="2"/>
      <c r="C238" s="2"/>
      <c r="D238" s="2"/>
      <c r="E238" s="2"/>
      <c r="F238" s="2"/>
      <c r="G238" s="2"/>
      <c r="H238" s="2"/>
      <c r="I238" s="2"/>
      <c r="J238" s="2"/>
      <c r="K238" s="2"/>
      <c r="L238" s="2"/>
      <c r="M238" s="2"/>
      <c r="N238" s="2"/>
      <c r="O238" s="193"/>
      <c r="P238" s="194"/>
      <c r="Q238" s="194"/>
      <c r="R238" s="194"/>
      <c r="S238" s="194"/>
      <c r="T238" s="195"/>
      <c r="U238" s="2"/>
      <c r="V238" s="2"/>
    </row>
    <row r="239" spans="1:22" x14ac:dyDescent="0.3">
      <c r="A239" s="2"/>
      <c r="B239" s="2"/>
      <c r="C239" s="2"/>
      <c r="D239" s="2"/>
      <c r="E239" s="2"/>
      <c r="F239" s="2"/>
      <c r="G239" s="2"/>
      <c r="H239" s="2"/>
      <c r="I239" s="2"/>
      <c r="J239" s="2"/>
      <c r="K239" s="2"/>
      <c r="L239" s="2"/>
      <c r="M239" s="2"/>
      <c r="N239" s="2"/>
      <c r="O239" s="193"/>
      <c r="P239" s="194"/>
      <c r="Q239" s="194"/>
      <c r="R239" s="194"/>
      <c r="S239" s="194"/>
      <c r="T239" s="195"/>
      <c r="U239" s="2"/>
      <c r="V239" s="2"/>
    </row>
    <row r="240" spans="1:22" x14ac:dyDescent="0.3">
      <c r="A240" s="2"/>
      <c r="B240" s="2"/>
      <c r="C240" s="2"/>
      <c r="D240" s="2"/>
      <c r="E240" s="2"/>
      <c r="F240" s="2"/>
      <c r="G240" s="2"/>
      <c r="H240" s="2"/>
      <c r="I240" s="2"/>
      <c r="J240" s="2"/>
      <c r="K240" s="2"/>
      <c r="L240" s="2"/>
      <c r="M240" s="2"/>
      <c r="N240" s="2"/>
      <c r="O240" s="193"/>
      <c r="P240" s="194"/>
      <c r="Q240" s="194"/>
      <c r="R240" s="194"/>
      <c r="S240" s="194"/>
      <c r="T240" s="195"/>
      <c r="U240" s="2"/>
      <c r="V240" s="2"/>
    </row>
    <row r="241" spans="1:22" x14ac:dyDescent="0.3">
      <c r="A241" s="2"/>
      <c r="B241" s="2"/>
      <c r="C241" s="2"/>
      <c r="D241" s="54"/>
      <c r="E241" s="2"/>
      <c r="F241" s="2"/>
      <c r="G241" s="2"/>
      <c r="H241" s="2"/>
      <c r="I241" s="2"/>
      <c r="J241" s="2"/>
      <c r="K241" s="2"/>
      <c r="L241" s="2"/>
      <c r="M241" s="2"/>
      <c r="N241" s="2"/>
      <c r="O241" s="193"/>
      <c r="P241" s="194"/>
      <c r="Q241" s="194"/>
      <c r="R241" s="194"/>
      <c r="S241" s="194"/>
      <c r="T241" s="195"/>
      <c r="U241" s="2"/>
      <c r="V241" s="2"/>
    </row>
    <row r="242" spans="1:22" x14ac:dyDescent="0.3">
      <c r="A242" s="2"/>
      <c r="B242" s="2"/>
      <c r="C242" s="2"/>
      <c r="D242" s="2"/>
      <c r="E242" s="2"/>
      <c r="F242" s="2"/>
      <c r="G242" s="2"/>
      <c r="H242" s="2"/>
      <c r="I242" s="2"/>
      <c r="J242" s="2"/>
      <c r="K242" s="2"/>
      <c r="L242" s="2"/>
      <c r="M242" s="2"/>
      <c r="N242" s="2"/>
      <c r="O242" s="193"/>
      <c r="P242" s="194"/>
      <c r="Q242" s="194"/>
      <c r="R242" s="194"/>
      <c r="S242" s="194"/>
      <c r="T242" s="195"/>
      <c r="U242" s="2"/>
      <c r="V242" s="2"/>
    </row>
    <row r="243" spans="1:22" x14ac:dyDescent="0.3">
      <c r="A243" s="2"/>
      <c r="B243" s="2"/>
      <c r="C243" s="2"/>
      <c r="D243" s="2"/>
      <c r="E243" s="2"/>
      <c r="F243" s="2"/>
      <c r="G243" s="2"/>
      <c r="H243" s="2"/>
      <c r="I243" s="2"/>
      <c r="J243" s="2"/>
      <c r="K243" s="2"/>
      <c r="L243" s="2"/>
      <c r="M243" s="2"/>
      <c r="N243" s="2"/>
      <c r="O243" s="193"/>
      <c r="P243" s="194"/>
      <c r="Q243" s="194"/>
      <c r="R243" s="194"/>
      <c r="S243" s="194"/>
      <c r="T243" s="195"/>
      <c r="U243" s="2"/>
      <c r="V243" s="2"/>
    </row>
    <row r="244" spans="1:22" x14ac:dyDescent="0.3">
      <c r="A244" s="2"/>
      <c r="B244" s="2"/>
      <c r="C244" s="2"/>
      <c r="D244" s="2"/>
      <c r="E244" s="2"/>
      <c r="F244" s="2"/>
      <c r="G244" s="2"/>
      <c r="H244" s="2"/>
      <c r="I244" s="2"/>
      <c r="J244" s="2"/>
      <c r="K244" s="2"/>
      <c r="L244" s="2"/>
      <c r="M244" s="2"/>
      <c r="N244" s="2"/>
      <c r="O244" s="193"/>
      <c r="P244" s="194"/>
      <c r="Q244" s="194"/>
      <c r="R244" s="194"/>
      <c r="S244" s="194"/>
      <c r="T244" s="195"/>
      <c r="U244" s="2"/>
      <c r="V244" s="2"/>
    </row>
    <row r="245" spans="1:22" x14ac:dyDescent="0.3">
      <c r="A245" s="2"/>
      <c r="B245" s="2"/>
      <c r="C245" s="2"/>
      <c r="D245" s="2"/>
      <c r="E245" s="2"/>
      <c r="F245" s="2"/>
      <c r="G245" s="2"/>
      <c r="H245" s="2"/>
      <c r="I245" s="2"/>
      <c r="J245" s="2"/>
      <c r="K245" s="2"/>
      <c r="L245" s="2"/>
      <c r="M245" s="2"/>
      <c r="N245" s="2"/>
      <c r="O245" s="193"/>
      <c r="P245" s="194"/>
      <c r="Q245" s="194"/>
      <c r="R245" s="194"/>
      <c r="S245" s="194"/>
      <c r="T245" s="195"/>
      <c r="U245" s="2"/>
      <c r="V245" s="2"/>
    </row>
    <row r="246" spans="1:22" x14ac:dyDescent="0.3">
      <c r="A246" s="2"/>
      <c r="B246" s="2"/>
      <c r="C246" s="2"/>
      <c r="D246" s="54"/>
      <c r="E246" s="2"/>
      <c r="F246" s="2"/>
      <c r="G246" s="2"/>
      <c r="H246" s="2"/>
      <c r="I246" s="2"/>
      <c r="J246" s="2"/>
      <c r="K246" s="2"/>
      <c r="L246" s="2"/>
      <c r="M246" s="2"/>
      <c r="N246" s="2"/>
      <c r="O246" s="193"/>
      <c r="P246" s="194"/>
      <c r="Q246" s="194"/>
      <c r="R246" s="194"/>
      <c r="S246" s="194"/>
      <c r="T246" s="195"/>
      <c r="U246" s="2"/>
      <c r="V246" s="2"/>
    </row>
    <row r="247" spans="1:22" x14ac:dyDescent="0.3">
      <c r="A247" s="2"/>
      <c r="B247" s="2"/>
      <c r="C247" s="2"/>
      <c r="D247" s="2"/>
      <c r="E247" s="2"/>
      <c r="F247" s="2"/>
      <c r="G247" s="2"/>
      <c r="H247" s="2"/>
      <c r="I247" s="2"/>
      <c r="J247" s="2"/>
      <c r="K247" s="2"/>
      <c r="L247" s="2"/>
      <c r="M247" s="2"/>
      <c r="N247" s="2"/>
      <c r="O247" s="193"/>
      <c r="P247" s="194"/>
      <c r="Q247" s="194"/>
      <c r="R247" s="194"/>
      <c r="S247" s="194"/>
      <c r="T247" s="195"/>
      <c r="U247" s="2"/>
      <c r="V247" s="2"/>
    </row>
    <row r="248" spans="1:22" x14ac:dyDescent="0.3">
      <c r="A248" s="2"/>
      <c r="B248" s="2"/>
      <c r="C248" s="2"/>
      <c r="D248" s="2"/>
      <c r="E248" s="2"/>
      <c r="F248" s="2"/>
      <c r="G248" s="2"/>
      <c r="H248" s="2"/>
      <c r="I248" s="2"/>
      <c r="J248" s="2"/>
      <c r="K248" s="2"/>
      <c r="L248" s="2"/>
      <c r="M248" s="2"/>
      <c r="N248" s="2"/>
      <c r="O248" s="193"/>
      <c r="P248" s="194"/>
      <c r="Q248" s="194"/>
      <c r="R248" s="194"/>
      <c r="S248" s="194"/>
      <c r="T248" s="195"/>
      <c r="U248" s="2"/>
      <c r="V248" s="2"/>
    </row>
    <row r="249" spans="1:22" x14ac:dyDescent="0.3">
      <c r="A249" s="2"/>
      <c r="B249" s="2"/>
      <c r="C249" s="2"/>
      <c r="D249" s="2"/>
      <c r="E249" s="2"/>
      <c r="F249" s="2"/>
      <c r="G249" s="2"/>
      <c r="H249" s="2"/>
      <c r="I249" s="2"/>
      <c r="J249" s="2"/>
      <c r="K249" s="2"/>
      <c r="L249" s="2"/>
      <c r="M249" s="2"/>
      <c r="N249" s="2"/>
      <c r="O249" s="193"/>
      <c r="P249" s="194"/>
      <c r="Q249" s="194"/>
      <c r="R249" s="194"/>
      <c r="S249" s="194"/>
      <c r="T249" s="195"/>
      <c r="U249" s="2"/>
      <c r="V249" s="2"/>
    </row>
    <row r="250" spans="1:22" x14ac:dyDescent="0.3">
      <c r="A250" s="2"/>
      <c r="B250" s="2"/>
      <c r="C250" s="2"/>
      <c r="D250" s="2"/>
      <c r="E250" s="2"/>
      <c r="F250" s="2"/>
      <c r="G250" s="2"/>
      <c r="H250" s="2"/>
      <c r="I250" s="2"/>
      <c r="J250" s="2"/>
      <c r="K250" s="2"/>
      <c r="L250" s="2"/>
      <c r="M250" s="2"/>
      <c r="N250" s="2"/>
      <c r="O250" s="193"/>
      <c r="P250" s="194"/>
      <c r="Q250" s="194"/>
      <c r="R250" s="194"/>
      <c r="S250" s="194"/>
      <c r="T250" s="195"/>
      <c r="U250" s="2"/>
      <c r="V250" s="2"/>
    </row>
    <row r="251" spans="1:22" x14ac:dyDescent="0.3">
      <c r="A251" s="2"/>
      <c r="B251" s="2"/>
      <c r="C251" s="2"/>
      <c r="D251" s="2"/>
      <c r="E251" s="2"/>
      <c r="F251" s="2"/>
      <c r="G251" s="2"/>
      <c r="H251" s="2"/>
      <c r="I251" s="2"/>
      <c r="J251" s="2"/>
      <c r="K251" s="2"/>
      <c r="L251" s="2"/>
      <c r="M251" s="2"/>
      <c r="N251" s="2"/>
      <c r="O251" s="193"/>
      <c r="P251" s="194"/>
      <c r="Q251" s="194"/>
      <c r="R251" s="194"/>
      <c r="S251" s="194"/>
      <c r="T251" s="195"/>
      <c r="U251" s="2"/>
      <c r="V251" s="2"/>
    </row>
    <row r="252" spans="1:22" x14ac:dyDescent="0.3">
      <c r="A252" s="2"/>
      <c r="B252" s="2"/>
      <c r="C252" s="2"/>
      <c r="D252" s="2"/>
      <c r="E252" s="2"/>
      <c r="F252" s="2"/>
      <c r="G252" s="2"/>
      <c r="H252" s="2"/>
      <c r="I252" s="2"/>
      <c r="J252" s="2"/>
      <c r="K252" s="2"/>
      <c r="L252" s="2"/>
      <c r="M252" s="2"/>
      <c r="N252" s="2"/>
      <c r="O252" s="193"/>
      <c r="P252" s="194"/>
      <c r="Q252" s="194"/>
      <c r="R252" s="194"/>
      <c r="S252" s="194"/>
      <c r="T252" s="195"/>
      <c r="U252" s="2"/>
      <c r="V252" s="2"/>
    </row>
    <row r="253" spans="1:22" x14ac:dyDescent="0.3">
      <c r="A253" s="2"/>
      <c r="B253" s="2"/>
      <c r="C253" s="2"/>
      <c r="D253" s="54"/>
      <c r="E253" s="2"/>
      <c r="F253" s="2"/>
      <c r="G253" s="2"/>
      <c r="H253" s="2"/>
      <c r="I253" s="2"/>
      <c r="J253" s="2"/>
      <c r="K253" s="2"/>
      <c r="L253" s="2"/>
      <c r="M253" s="2"/>
      <c r="N253" s="2"/>
      <c r="O253" s="193"/>
      <c r="P253" s="194"/>
      <c r="Q253" s="194"/>
      <c r="R253" s="194"/>
      <c r="S253" s="194"/>
      <c r="T253" s="195"/>
      <c r="U253" s="2"/>
      <c r="V253" s="2"/>
    </row>
    <row r="254" spans="1:22" x14ac:dyDescent="0.3">
      <c r="A254" s="2"/>
      <c r="B254" s="2"/>
      <c r="C254" s="2"/>
      <c r="D254" s="2"/>
      <c r="E254" s="2"/>
      <c r="F254" s="2"/>
      <c r="G254" s="2"/>
      <c r="H254" s="2"/>
      <c r="I254" s="2"/>
      <c r="J254" s="2"/>
      <c r="K254" s="2"/>
      <c r="L254" s="2"/>
      <c r="M254" s="2"/>
      <c r="N254" s="2"/>
      <c r="O254" s="193"/>
      <c r="P254" s="194"/>
      <c r="Q254" s="194"/>
      <c r="R254" s="194"/>
      <c r="S254" s="194"/>
      <c r="T254" s="195"/>
      <c r="U254" s="2"/>
      <c r="V254" s="2"/>
    </row>
    <row r="255" spans="1:22" x14ac:dyDescent="0.3">
      <c r="A255" s="2"/>
      <c r="B255" s="2"/>
      <c r="C255" s="2"/>
      <c r="D255" s="2"/>
      <c r="E255" s="2"/>
      <c r="F255" s="2"/>
      <c r="G255" s="2"/>
      <c r="H255" s="2"/>
      <c r="I255" s="2"/>
      <c r="J255" s="2"/>
      <c r="K255" s="2"/>
      <c r="L255" s="2"/>
      <c r="M255" s="2"/>
      <c r="N255" s="2"/>
      <c r="O255" s="193"/>
      <c r="P255" s="194"/>
      <c r="Q255" s="194"/>
      <c r="R255" s="194"/>
      <c r="S255" s="194"/>
      <c r="T255" s="195"/>
      <c r="U255" s="2"/>
      <c r="V255" s="2"/>
    </row>
    <row r="256" spans="1:22" x14ac:dyDescent="0.3">
      <c r="A256" s="2"/>
      <c r="B256" s="2"/>
      <c r="C256" s="2"/>
      <c r="D256" s="2"/>
      <c r="E256" s="2"/>
      <c r="F256" s="2"/>
      <c r="G256" s="2"/>
      <c r="H256" s="2"/>
      <c r="I256" s="2"/>
      <c r="J256" s="2"/>
      <c r="K256" s="2"/>
      <c r="L256" s="2"/>
      <c r="M256" s="2"/>
      <c r="N256" s="2"/>
      <c r="O256" s="193"/>
      <c r="P256" s="194"/>
      <c r="Q256" s="194"/>
      <c r="R256" s="194"/>
      <c r="S256" s="194"/>
      <c r="T256" s="195"/>
      <c r="U256" s="2"/>
      <c r="V256" s="2"/>
    </row>
    <row r="257" spans="1:22" x14ac:dyDescent="0.3">
      <c r="A257" s="2"/>
      <c r="B257" s="2"/>
      <c r="C257" s="2"/>
      <c r="D257" s="2"/>
      <c r="E257" s="2"/>
      <c r="F257" s="2"/>
      <c r="G257" s="2"/>
      <c r="H257" s="2"/>
      <c r="I257" s="2"/>
      <c r="J257" s="2"/>
      <c r="K257" s="2"/>
      <c r="L257" s="2"/>
      <c r="M257" s="2"/>
      <c r="N257" s="2"/>
      <c r="O257" s="193"/>
      <c r="P257" s="194"/>
      <c r="Q257" s="194"/>
      <c r="R257" s="194"/>
      <c r="S257" s="194"/>
      <c r="T257" s="195"/>
      <c r="U257" s="2"/>
      <c r="V257" s="2"/>
    </row>
    <row r="258" spans="1:22" x14ac:dyDescent="0.3">
      <c r="A258" s="2"/>
      <c r="B258" s="2"/>
      <c r="C258" s="2"/>
      <c r="D258" s="2"/>
      <c r="E258" s="2"/>
      <c r="F258" s="2"/>
      <c r="G258" s="2"/>
      <c r="H258" s="2"/>
      <c r="I258" s="2"/>
      <c r="J258" s="2"/>
      <c r="K258" s="2"/>
      <c r="L258" s="2"/>
      <c r="M258" s="2"/>
      <c r="N258" s="2"/>
      <c r="O258" s="193"/>
      <c r="P258" s="194"/>
      <c r="Q258" s="194"/>
      <c r="R258" s="194"/>
      <c r="S258" s="194"/>
      <c r="T258" s="195"/>
      <c r="U258" s="2"/>
      <c r="V258" s="2"/>
    </row>
    <row r="259" spans="1:22" x14ac:dyDescent="0.3">
      <c r="A259" s="2"/>
      <c r="B259" s="2"/>
      <c r="C259" s="2"/>
      <c r="D259" s="54"/>
      <c r="E259" s="2"/>
      <c r="F259" s="2"/>
      <c r="G259" s="2"/>
      <c r="H259" s="2"/>
      <c r="I259" s="2"/>
      <c r="J259" s="2"/>
      <c r="K259" s="2"/>
      <c r="L259" s="2"/>
      <c r="M259" s="2"/>
      <c r="N259" s="2"/>
      <c r="O259" s="193"/>
      <c r="P259" s="194"/>
      <c r="Q259" s="194"/>
      <c r="R259" s="194"/>
      <c r="S259" s="194"/>
      <c r="T259" s="195"/>
      <c r="U259" s="2"/>
      <c r="V259" s="2"/>
    </row>
    <row r="260" spans="1:22" x14ac:dyDescent="0.3">
      <c r="A260" s="2"/>
      <c r="B260" s="2"/>
      <c r="C260" s="2"/>
      <c r="D260" s="2"/>
      <c r="E260" s="2"/>
      <c r="F260" s="2"/>
      <c r="G260" s="2"/>
      <c r="H260" s="2"/>
      <c r="I260" s="2"/>
      <c r="J260" s="2"/>
      <c r="K260" s="2"/>
      <c r="L260" s="2"/>
      <c r="M260" s="2"/>
      <c r="N260" s="2"/>
      <c r="O260" s="193"/>
      <c r="P260" s="194"/>
      <c r="Q260" s="194"/>
      <c r="R260" s="194"/>
      <c r="S260" s="194"/>
      <c r="T260" s="195"/>
      <c r="U260" s="2"/>
      <c r="V260" s="2"/>
    </row>
    <row r="261" spans="1:22" x14ac:dyDescent="0.3">
      <c r="A261" s="2"/>
      <c r="B261" s="2"/>
      <c r="C261" s="2"/>
      <c r="D261" s="2"/>
      <c r="E261" s="2"/>
      <c r="F261" s="2"/>
      <c r="G261" s="2"/>
      <c r="H261" s="2"/>
      <c r="I261" s="2"/>
      <c r="J261" s="2"/>
      <c r="K261" s="2"/>
      <c r="L261" s="2"/>
      <c r="M261" s="2"/>
      <c r="N261" s="2"/>
      <c r="O261" s="193"/>
      <c r="P261" s="194"/>
      <c r="Q261" s="194"/>
      <c r="R261" s="194"/>
      <c r="S261" s="194"/>
      <c r="T261" s="195"/>
      <c r="U261" s="2"/>
      <c r="V261" s="2"/>
    </row>
    <row r="262" spans="1:22" x14ac:dyDescent="0.3">
      <c r="A262" s="2"/>
      <c r="B262" s="2"/>
      <c r="C262" s="2"/>
      <c r="D262" s="2"/>
      <c r="E262" s="2"/>
      <c r="F262" s="2"/>
      <c r="G262" s="2"/>
      <c r="H262" s="2"/>
      <c r="I262" s="2"/>
      <c r="J262" s="2"/>
      <c r="K262" s="2"/>
      <c r="L262" s="2"/>
      <c r="M262" s="2"/>
      <c r="N262" s="2"/>
      <c r="O262" s="193"/>
      <c r="P262" s="194"/>
      <c r="Q262" s="194"/>
      <c r="R262" s="194"/>
      <c r="S262" s="194"/>
      <c r="T262" s="195"/>
      <c r="U262" s="2"/>
      <c r="V262" s="2"/>
    </row>
    <row r="263" spans="1:22" x14ac:dyDescent="0.3">
      <c r="A263" s="2"/>
      <c r="B263" s="2"/>
      <c r="C263" s="2"/>
      <c r="D263" s="2"/>
      <c r="E263" s="2"/>
      <c r="F263" s="2"/>
      <c r="G263" s="2"/>
      <c r="H263" s="2"/>
      <c r="I263" s="2"/>
      <c r="J263" s="2"/>
      <c r="K263" s="2"/>
      <c r="L263" s="2"/>
      <c r="M263" s="2"/>
      <c r="N263" s="2"/>
      <c r="O263" s="193"/>
      <c r="P263" s="194"/>
      <c r="Q263" s="194"/>
      <c r="R263" s="194"/>
      <c r="S263" s="194"/>
      <c r="T263" s="195"/>
      <c r="U263" s="2"/>
      <c r="V263" s="2"/>
    </row>
    <row r="264" spans="1:22" x14ac:dyDescent="0.3">
      <c r="A264" s="2"/>
      <c r="B264" s="2"/>
      <c r="C264" s="2"/>
      <c r="D264" s="2"/>
      <c r="E264" s="2"/>
      <c r="F264" s="2"/>
      <c r="G264" s="2"/>
      <c r="H264" s="2"/>
      <c r="I264" s="2"/>
      <c r="J264" s="2"/>
      <c r="K264" s="2"/>
      <c r="L264" s="2"/>
      <c r="M264" s="2"/>
      <c r="N264" s="2"/>
      <c r="O264" s="193"/>
      <c r="P264" s="194"/>
      <c r="Q264" s="194"/>
      <c r="R264" s="194"/>
      <c r="S264" s="194"/>
      <c r="T264" s="195"/>
      <c r="U264" s="2"/>
      <c r="V264" s="2"/>
    </row>
    <row r="265" spans="1:22" x14ac:dyDescent="0.3">
      <c r="A265" s="2"/>
      <c r="B265" s="2"/>
      <c r="C265" s="2"/>
      <c r="D265" s="54"/>
      <c r="E265" s="2"/>
      <c r="F265" s="2"/>
      <c r="G265" s="2"/>
      <c r="H265" s="2"/>
      <c r="I265" s="2"/>
      <c r="J265" s="2"/>
      <c r="K265" s="2"/>
      <c r="L265" s="2"/>
      <c r="M265" s="2"/>
      <c r="N265" s="2"/>
      <c r="O265" s="196"/>
      <c r="P265" s="197"/>
      <c r="Q265" s="197"/>
      <c r="R265" s="197"/>
      <c r="S265" s="197"/>
      <c r="T265" s="198"/>
      <c r="U265" s="2"/>
      <c r="V265" s="2"/>
    </row>
    <row r="266" spans="1:22" x14ac:dyDescent="0.3">
      <c r="A266" s="2"/>
      <c r="B266" s="2"/>
      <c r="C266" s="2"/>
      <c r="D266" s="2"/>
      <c r="E266" s="2"/>
      <c r="F266" s="2"/>
      <c r="G266" s="2"/>
      <c r="H266" s="2"/>
      <c r="I266" s="2"/>
      <c r="J266" s="2"/>
      <c r="K266" s="2"/>
      <c r="L266" s="2"/>
      <c r="M266" s="2"/>
      <c r="N266" s="2"/>
      <c r="O266" s="2"/>
      <c r="P266" s="2"/>
      <c r="Q266" s="2"/>
      <c r="R266" s="2"/>
      <c r="S266" s="2"/>
      <c r="T266" s="2"/>
      <c r="U266" s="2"/>
      <c r="V266" s="2"/>
    </row>
    <row r="267" spans="1:22" x14ac:dyDescent="0.3">
      <c r="A267" s="2"/>
      <c r="B267" s="2"/>
      <c r="C267" s="2"/>
      <c r="D267" s="2"/>
      <c r="E267" s="2"/>
      <c r="F267" s="2"/>
      <c r="G267" s="2"/>
      <c r="H267" s="2"/>
      <c r="I267" s="2"/>
      <c r="J267" s="2"/>
      <c r="K267" s="2"/>
      <c r="L267" s="2"/>
      <c r="M267" s="2"/>
      <c r="N267" s="2"/>
      <c r="O267" s="2"/>
      <c r="P267" s="2"/>
      <c r="Q267" s="2"/>
      <c r="R267" s="2"/>
      <c r="S267" s="2"/>
      <c r="T267" s="2"/>
      <c r="U267" s="2"/>
      <c r="V267" s="2"/>
    </row>
    <row r="268" spans="1:22" x14ac:dyDescent="0.3">
      <c r="A268" s="2"/>
      <c r="B268" s="2"/>
      <c r="C268" s="2"/>
      <c r="D268" s="2"/>
      <c r="E268" s="2"/>
      <c r="F268" s="2"/>
      <c r="G268" s="2"/>
      <c r="H268" s="2"/>
      <c r="I268" s="2"/>
      <c r="J268" s="2"/>
      <c r="K268" s="2"/>
      <c r="L268" s="2"/>
      <c r="M268" s="2"/>
      <c r="N268" s="2"/>
      <c r="O268" s="2"/>
      <c r="P268" s="2"/>
      <c r="Q268" s="2"/>
      <c r="R268" s="2"/>
      <c r="S268" s="2"/>
      <c r="T268" s="2"/>
      <c r="U268" s="2"/>
      <c r="V268" s="2"/>
    </row>
    <row r="269" spans="1:22" x14ac:dyDescent="0.3">
      <c r="A269" s="2"/>
      <c r="B269" s="2"/>
      <c r="C269" s="2"/>
      <c r="D269" s="2"/>
      <c r="E269" s="2"/>
      <c r="F269" s="2"/>
      <c r="G269" s="2"/>
      <c r="H269" s="2"/>
      <c r="I269" s="2"/>
      <c r="J269" s="2"/>
      <c r="K269" s="2"/>
      <c r="L269" s="2"/>
      <c r="M269" s="2"/>
      <c r="N269" s="2"/>
      <c r="O269" s="2"/>
      <c r="P269" s="2"/>
      <c r="Q269" s="2"/>
      <c r="R269" s="2"/>
      <c r="S269" s="2"/>
      <c r="T269" s="2"/>
      <c r="U269" s="2"/>
      <c r="V269" s="2"/>
    </row>
    <row r="270" spans="1:22" x14ac:dyDescent="0.3">
      <c r="A270" s="2"/>
      <c r="B270" s="2"/>
      <c r="C270" s="2"/>
      <c r="D270" s="2"/>
      <c r="E270" s="2"/>
      <c r="F270" s="2"/>
      <c r="G270" s="2"/>
      <c r="H270" s="2"/>
      <c r="I270" s="2"/>
      <c r="J270" s="2"/>
      <c r="K270" s="2"/>
      <c r="L270" s="2"/>
      <c r="M270" s="2"/>
      <c r="N270" s="2"/>
      <c r="O270" s="2"/>
      <c r="P270" s="2"/>
      <c r="Q270" s="2"/>
      <c r="R270" s="2"/>
      <c r="S270" s="2"/>
      <c r="T270" s="2"/>
      <c r="U270" s="2"/>
      <c r="V270" s="2"/>
    </row>
    <row r="271" spans="1:22" x14ac:dyDescent="0.3">
      <c r="A271" s="2"/>
      <c r="B271" s="2"/>
      <c r="C271" s="2"/>
      <c r="D271" s="2"/>
      <c r="E271" s="2"/>
      <c r="F271" s="2"/>
      <c r="G271" s="2"/>
      <c r="H271" s="2"/>
      <c r="I271" s="2"/>
      <c r="J271" s="2"/>
      <c r="K271" s="2"/>
      <c r="L271" s="2"/>
      <c r="M271" s="2"/>
      <c r="N271" s="2"/>
      <c r="O271" s="181" t="s">
        <v>425</v>
      </c>
      <c r="P271" s="182"/>
      <c r="Q271" s="182"/>
      <c r="R271" s="182"/>
      <c r="S271" s="182"/>
      <c r="T271" s="183"/>
      <c r="U271" s="2"/>
      <c r="V271" s="2"/>
    </row>
    <row r="272" spans="1:22" x14ac:dyDescent="0.3">
      <c r="A272" s="2"/>
      <c r="B272" s="2"/>
      <c r="C272" s="2"/>
      <c r="D272" s="2"/>
      <c r="E272" s="2"/>
      <c r="F272" s="2"/>
      <c r="G272" s="2"/>
      <c r="H272" s="2"/>
      <c r="I272" s="2"/>
      <c r="J272" s="2"/>
      <c r="K272" s="2"/>
      <c r="L272" s="2"/>
      <c r="M272" s="2"/>
      <c r="N272" s="2"/>
      <c r="O272" s="184"/>
      <c r="P272" s="185"/>
      <c r="Q272" s="185"/>
      <c r="R272" s="185"/>
      <c r="S272" s="185"/>
      <c r="T272" s="186"/>
      <c r="U272" s="2"/>
      <c r="V272" s="2"/>
    </row>
    <row r="273" spans="1:22" x14ac:dyDescent="0.3">
      <c r="A273" s="2"/>
      <c r="B273" s="2"/>
      <c r="C273" s="2"/>
      <c r="D273" s="54"/>
      <c r="E273" s="2"/>
      <c r="F273" s="2"/>
      <c r="G273" s="2"/>
      <c r="H273" s="2"/>
      <c r="I273" s="2"/>
      <c r="J273" s="2"/>
      <c r="K273" s="2"/>
      <c r="L273" s="2"/>
      <c r="M273" s="2"/>
      <c r="N273" s="2"/>
      <c r="O273" s="187"/>
      <c r="P273" s="188"/>
      <c r="Q273" s="188"/>
      <c r="R273" s="188"/>
      <c r="S273" s="188"/>
      <c r="T273" s="189"/>
      <c r="U273" s="2"/>
      <c r="V273" s="2"/>
    </row>
    <row r="274" spans="1:22" x14ac:dyDescent="0.3">
      <c r="A274" s="2"/>
      <c r="B274" s="2"/>
      <c r="C274" s="2"/>
      <c r="D274" s="2"/>
      <c r="E274" s="2"/>
      <c r="F274" s="2"/>
      <c r="G274" s="2"/>
      <c r="H274" s="2"/>
      <c r="I274" s="2"/>
      <c r="J274" s="2"/>
      <c r="K274" s="2"/>
      <c r="L274" s="2"/>
      <c r="M274" s="2"/>
      <c r="N274" s="2"/>
      <c r="O274" s="2"/>
      <c r="P274" s="2"/>
      <c r="Q274" s="2"/>
      <c r="R274" s="2"/>
      <c r="S274" s="2"/>
      <c r="T274" s="2"/>
      <c r="U274" s="2"/>
      <c r="V274" s="2"/>
    </row>
    <row r="275" spans="1:22" x14ac:dyDescent="0.3">
      <c r="A275" s="2"/>
      <c r="B275" s="2"/>
      <c r="C275" s="2"/>
      <c r="D275" s="2"/>
      <c r="E275" s="2"/>
      <c r="F275" s="2"/>
      <c r="G275" s="2"/>
      <c r="H275" s="2"/>
      <c r="I275" s="2"/>
      <c r="J275" s="2"/>
      <c r="K275" s="2"/>
      <c r="L275" s="2"/>
      <c r="M275" s="2"/>
      <c r="N275" s="2"/>
      <c r="O275" s="2"/>
      <c r="P275" s="2"/>
      <c r="Q275" s="2"/>
      <c r="R275" s="2"/>
      <c r="S275" s="2"/>
      <c r="T275" s="2"/>
      <c r="U275" s="2"/>
      <c r="V275" s="2"/>
    </row>
    <row r="276" spans="1:22" x14ac:dyDescent="0.3">
      <c r="A276" s="2"/>
      <c r="B276" s="2"/>
      <c r="C276" s="2"/>
      <c r="D276" s="2"/>
      <c r="E276" s="2"/>
      <c r="F276" s="2"/>
      <c r="G276" s="2"/>
      <c r="H276" s="2"/>
      <c r="I276" s="2"/>
      <c r="J276" s="2"/>
      <c r="K276" s="2"/>
      <c r="L276" s="2"/>
      <c r="M276" s="2"/>
      <c r="N276" s="2"/>
      <c r="O276" s="190" t="s">
        <v>1019</v>
      </c>
      <c r="P276" s="191"/>
      <c r="Q276" s="191"/>
      <c r="R276" s="191"/>
      <c r="S276" s="191"/>
      <c r="T276" s="192"/>
      <c r="U276" s="2"/>
      <c r="V276" s="2"/>
    </row>
    <row r="277" spans="1:22" x14ac:dyDescent="0.3">
      <c r="A277" s="2"/>
      <c r="B277" s="2"/>
      <c r="C277" s="2"/>
      <c r="D277" s="2"/>
      <c r="E277" s="2"/>
      <c r="F277" s="2"/>
      <c r="G277" s="2"/>
      <c r="H277" s="2"/>
      <c r="I277" s="2"/>
      <c r="J277" s="2"/>
      <c r="K277" s="2"/>
      <c r="L277" s="2"/>
      <c r="M277" s="2"/>
      <c r="N277" s="2"/>
      <c r="O277" s="193"/>
      <c r="P277" s="194"/>
      <c r="Q277" s="194"/>
      <c r="R277" s="194"/>
      <c r="S277" s="194"/>
      <c r="T277" s="195"/>
      <c r="U277" s="2"/>
      <c r="V277" s="2"/>
    </row>
    <row r="278" spans="1:22" x14ac:dyDescent="0.3">
      <c r="A278" s="2"/>
      <c r="B278" s="2"/>
      <c r="C278" s="2"/>
      <c r="D278" s="2"/>
      <c r="E278" s="2"/>
      <c r="F278" s="2"/>
      <c r="G278" s="2"/>
      <c r="H278" s="2"/>
      <c r="I278" s="2"/>
      <c r="J278" s="2"/>
      <c r="K278" s="2"/>
      <c r="L278" s="2"/>
      <c r="M278" s="2"/>
      <c r="N278" s="2"/>
      <c r="O278" s="193"/>
      <c r="P278" s="194"/>
      <c r="Q278" s="194"/>
      <c r="R278" s="194"/>
      <c r="S278" s="194"/>
      <c r="T278" s="195"/>
      <c r="U278" s="2"/>
      <c r="V278" s="2"/>
    </row>
    <row r="279" spans="1:22" x14ac:dyDescent="0.3">
      <c r="A279" s="2"/>
      <c r="B279" s="2"/>
      <c r="C279" s="2"/>
      <c r="D279" s="2"/>
      <c r="E279" s="2"/>
      <c r="F279" s="2"/>
      <c r="G279" s="2"/>
      <c r="H279" s="2"/>
      <c r="I279" s="2"/>
      <c r="J279" s="2"/>
      <c r="K279" s="2"/>
      <c r="L279" s="2"/>
      <c r="M279" s="2"/>
      <c r="N279" s="2"/>
      <c r="O279" s="193"/>
      <c r="P279" s="194"/>
      <c r="Q279" s="194"/>
      <c r="R279" s="194"/>
      <c r="S279" s="194"/>
      <c r="T279" s="195"/>
      <c r="U279" s="2"/>
      <c r="V279" s="2"/>
    </row>
    <row r="280" spans="1:22" x14ac:dyDescent="0.3">
      <c r="A280" s="2"/>
      <c r="B280" s="2"/>
      <c r="C280" s="2"/>
      <c r="D280" s="2"/>
      <c r="E280" s="2"/>
      <c r="F280" s="2"/>
      <c r="G280" s="2"/>
      <c r="H280" s="2"/>
      <c r="I280" s="2"/>
      <c r="J280" s="2"/>
      <c r="K280" s="2"/>
      <c r="L280" s="2"/>
      <c r="M280" s="2"/>
      <c r="N280" s="2"/>
      <c r="O280" s="193"/>
      <c r="P280" s="194"/>
      <c r="Q280" s="194"/>
      <c r="R280" s="194"/>
      <c r="S280" s="194"/>
      <c r="T280" s="195"/>
      <c r="U280" s="2"/>
      <c r="V280" s="2"/>
    </row>
    <row r="281" spans="1:22" x14ac:dyDescent="0.3">
      <c r="A281" s="2"/>
      <c r="B281" s="2"/>
      <c r="C281" s="2"/>
      <c r="D281" s="2"/>
      <c r="E281" s="2"/>
      <c r="F281" s="2"/>
      <c r="G281" s="2"/>
      <c r="H281" s="2"/>
      <c r="I281" s="2"/>
      <c r="J281" s="2"/>
      <c r="K281" s="2"/>
      <c r="L281" s="2"/>
      <c r="M281" s="2"/>
      <c r="N281" s="2"/>
      <c r="O281" s="193"/>
      <c r="P281" s="194"/>
      <c r="Q281" s="194"/>
      <c r="R281" s="194"/>
      <c r="S281" s="194"/>
      <c r="T281" s="195"/>
      <c r="U281" s="2"/>
      <c r="V281" s="2"/>
    </row>
    <row r="282" spans="1:22" x14ac:dyDescent="0.3">
      <c r="A282" s="2"/>
      <c r="B282" s="2"/>
      <c r="C282" s="2"/>
      <c r="D282" s="2"/>
      <c r="E282" s="2"/>
      <c r="F282" s="2"/>
      <c r="G282" s="2"/>
      <c r="H282" s="2"/>
      <c r="I282" s="2"/>
      <c r="J282" s="2"/>
      <c r="K282" s="2"/>
      <c r="L282" s="2"/>
      <c r="M282" s="2"/>
      <c r="N282" s="2"/>
      <c r="O282" s="193"/>
      <c r="P282" s="194"/>
      <c r="Q282" s="194"/>
      <c r="R282" s="194"/>
      <c r="S282" s="194"/>
      <c r="T282" s="195"/>
      <c r="U282" s="2"/>
      <c r="V282" s="2"/>
    </row>
    <row r="283" spans="1:22" x14ac:dyDescent="0.3">
      <c r="A283" s="2"/>
      <c r="B283" s="2"/>
      <c r="C283" s="2"/>
      <c r="D283" s="2"/>
      <c r="E283" s="2"/>
      <c r="F283" s="2"/>
      <c r="G283" s="2"/>
      <c r="H283" s="2"/>
      <c r="I283" s="2"/>
      <c r="J283" s="2"/>
      <c r="K283" s="2"/>
      <c r="L283" s="2"/>
      <c r="M283" s="2"/>
      <c r="N283" s="2"/>
      <c r="O283" s="193"/>
      <c r="P283" s="194"/>
      <c r="Q283" s="194"/>
      <c r="R283" s="194"/>
      <c r="S283" s="194"/>
      <c r="T283" s="195"/>
      <c r="U283" s="2"/>
      <c r="V283" s="2"/>
    </row>
    <row r="284" spans="1:22" x14ac:dyDescent="0.3">
      <c r="A284" s="2"/>
      <c r="B284" s="2"/>
      <c r="C284" s="2"/>
      <c r="D284" s="2"/>
      <c r="E284" s="2"/>
      <c r="F284" s="2"/>
      <c r="G284" s="2"/>
      <c r="H284" s="2"/>
      <c r="I284" s="2"/>
      <c r="J284" s="2"/>
      <c r="K284" s="2"/>
      <c r="L284" s="2"/>
      <c r="M284" s="2"/>
      <c r="N284" s="2"/>
      <c r="O284" s="193"/>
      <c r="P284" s="194"/>
      <c r="Q284" s="194"/>
      <c r="R284" s="194"/>
      <c r="S284" s="194"/>
      <c r="T284" s="195"/>
      <c r="U284" s="2"/>
      <c r="V284" s="2"/>
    </row>
    <row r="285" spans="1:22" x14ac:dyDescent="0.3">
      <c r="A285" s="2"/>
      <c r="B285" s="2"/>
      <c r="C285" s="2"/>
      <c r="D285" s="2"/>
      <c r="E285" s="2"/>
      <c r="F285" s="2"/>
      <c r="G285" s="2"/>
      <c r="H285" s="2"/>
      <c r="I285" s="2"/>
      <c r="J285" s="2"/>
      <c r="K285" s="2"/>
      <c r="L285" s="2"/>
      <c r="M285" s="2"/>
      <c r="N285" s="2"/>
      <c r="O285" s="193"/>
      <c r="P285" s="194"/>
      <c r="Q285" s="194"/>
      <c r="R285" s="194"/>
      <c r="S285" s="194"/>
      <c r="T285" s="195"/>
      <c r="U285" s="2"/>
      <c r="V285" s="2"/>
    </row>
    <row r="286" spans="1:22" x14ac:dyDescent="0.3">
      <c r="A286" s="2"/>
      <c r="B286" s="2"/>
      <c r="C286" s="2"/>
      <c r="D286" s="2"/>
      <c r="E286" s="2"/>
      <c r="F286" s="2"/>
      <c r="G286" s="2"/>
      <c r="H286" s="2"/>
      <c r="I286" s="2"/>
      <c r="J286" s="2"/>
      <c r="K286" s="2"/>
      <c r="L286" s="2"/>
      <c r="M286" s="2"/>
      <c r="N286" s="2"/>
      <c r="O286" s="193"/>
      <c r="P286" s="194"/>
      <c r="Q286" s="194"/>
      <c r="R286" s="194"/>
      <c r="S286" s="194"/>
      <c r="T286" s="195"/>
      <c r="U286" s="2"/>
      <c r="V286" s="2"/>
    </row>
    <row r="287" spans="1:22" x14ac:dyDescent="0.3">
      <c r="A287" s="2"/>
      <c r="B287" s="2"/>
      <c r="C287" s="2"/>
      <c r="D287" s="2"/>
      <c r="E287" s="2"/>
      <c r="F287" s="2"/>
      <c r="G287" s="2"/>
      <c r="H287" s="2"/>
      <c r="I287" s="2"/>
      <c r="J287" s="2"/>
      <c r="K287" s="2"/>
      <c r="L287" s="2"/>
      <c r="M287" s="2"/>
      <c r="N287" s="2"/>
      <c r="O287" s="193"/>
      <c r="P287" s="194"/>
      <c r="Q287" s="194"/>
      <c r="R287" s="194"/>
      <c r="S287" s="194"/>
      <c r="T287" s="195"/>
      <c r="U287" s="2"/>
      <c r="V287" s="2"/>
    </row>
    <row r="288" spans="1:22" x14ac:dyDescent="0.3">
      <c r="A288" s="2"/>
      <c r="B288" s="2"/>
      <c r="C288" s="2"/>
      <c r="D288" s="2"/>
      <c r="E288" s="2"/>
      <c r="F288" s="2"/>
      <c r="G288" s="2"/>
      <c r="H288" s="2"/>
      <c r="I288" s="2"/>
      <c r="J288" s="2"/>
      <c r="K288" s="2"/>
      <c r="L288" s="2"/>
      <c r="M288" s="2"/>
      <c r="N288" s="2"/>
      <c r="O288" s="193"/>
      <c r="P288" s="194"/>
      <c r="Q288" s="194"/>
      <c r="R288" s="194"/>
      <c r="S288" s="194"/>
      <c r="T288" s="195"/>
      <c r="U288" s="2"/>
      <c r="V288" s="2"/>
    </row>
    <row r="289" spans="1:22" x14ac:dyDescent="0.3">
      <c r="A289" s="2"/>
      <c r="B289" s="2"/>
      <c r="C289" s="2"/>
      <c r="D289" s="2"/>
      <c r="E289" s="2"/>
      <c r="F289" s="2"/>
      <c r="G289" s="2"/>
      <c r="H289" s="2"/>
      <c r="I289" s="2"/>
      <c r="J289" s="2"/>
      <c r="K289" s="2"/>
      <c r="L289" s="2"/>
      <c r="M289" s="2"/>
      <c r="N289" s="2"/>
      <c r="O289" s="193"/>
      <c r="P289" s="194"/>
      <c r="Q289" s="194"/>
      <c r="R289" s="194"/>
      <c r="S289" s="194"/>
      <c r="T289" s="195"/>
      <c r="U289" s="2"/>
      <c r="V289" s="2"/>
    </row>
    <row r="290" spans="1:22" x14ac:dyDescent="0.3">
      <c r="A290" s="2"/>
      <c r="B290" s="2"/>
      <c r="C290" s="2"/>
      <c r="D290" s="2"/>
      <c r="E290" s="2"/>
      <c r="F290" s="2"/>
      <c r="G290" s="2"/>
      <c r="H290" s="2"/>
      <c r="I290" s="2"/>
      <c r="J290" s="2"/>
      <c r="K290" s="2"/>
      <c r="L290" s="2"/>
      <c r="M290" s="2"/>
      <c r="N290" s="2"/>
      <c r="O290" s="193"/>
      <c r="P290" s="194"/>
      <c r="Q290" s="194"/>
      <c r="R290" s="194"/>
      <c r="S290" s="194"/>
      <c r="T290" s="195"/>
      <c r="U290" s="2"/>
      <c r="V290" s="2"/>
    </row>
    <row r="291" spans="1:22" x14ac:dyDescent="0.3">
      <c r="A291" s="2"/>
      <c r="B291" s="2"/>
      <c r="C291" s="2"/>
      <c r="D291" s="2"/>
      <c r="E291" s="2"/>
      <c r="F291" s="2"/>
      <c r="G291" s="2"/>
      <c r="H291" s="2"/>
      <c r="I291" s="2"/>
      <c r="J291" s="2"/>
      <c r="K291" s="2"/>
      <c r="L291" s="2"/>
      <c r="M291" s="2"/>
      <c r="N291" s="2"/>
      <c r="O291" s="193"/>
      <c r="P291" s="194"/>
      <c r="Q291" s="194"/>
      <c r="R291" s="194"/>
      <c r="S291" s="194"/>
      <c r="T291" s="195"/>
      <c r="U291" s="2"/>
      <c r="V291" s="2"/>
    </row>
    <row r="292" spans="1:22" x14ac:dyDescent="0.3">
      <c r="A292" s="2"/>
      <c r="B292" s="2"/>
      <c r="C292" s="2"/>
      <c r="D292" s="2"/>
      <c r="E292" s="2"/>
      <c r="F292" s="2"/>
      <c r="G292" s="2"/>
      <c r="H292" s="2"/>
      <c r="I292" s="2"/>
      <c r="J292" s="2"/>
      <c r="K292" s="2"/>
      <c r="L292" s="2"/>
      <c r="M292" s="2"/>
      <c r="N292" s="2"/>
      <c r="O292" s="193"/>
      <c r="P292" s="194"/>
      <c r="Q292" s="194"/>
      <c r="R292" s="194"/>
      <c r="S292" s="194"/>
      <c r="T292" s="195"/>
      <c r="U292" s="2"/>
      <c r="V292" s="2"/>
    </row>
    <row r="293" spans="1:22" x14ac:dyDescent="0.3">
      <c r="A293" s="2"/>
      <c r="B293" s="2"/>
      <c r="C293" s="2"/>
      <c r="D293" s="2"/>
      <c r="E293" s="2"/>
      <c r="F293" s="2"/>
      <c r="G293" s="2"/>
      <c r="H293" s="2"/>
      <c r="I293" s="2"/>
      <c r="J293" s="2"/>
      <c r="K293" s="2"/>
      <c r="L293" s="2"/>
      <c r="M293" s="2"/>
      <c r="N293" s="2"/>
      <c r="O293" s="193"/>
      <c r="P293" s="194"/>
      <c r="Q293" s="194"/>
      <c r="R293" s="194"/>
      <c r="S293" s="194"/>
      <c r="T293" s="195"/>
      <c r="U293" s="2"/>
      <c r="V293" s="2"/>
    </row>
    <row r="294" spans="1:22" x14ac:dyDescent="0.3">
      <c r="A294" s="2"/>
      <c r="B294" s="2"/>
      <c r="C294" s="2"/>
      <c r="D294" s="2"/>
      <c r="E294" s="2"/>
      <c r="F294" s="2"/>
      <c r="G294" s="2"/>
      <c r="H294" s="2"/>
      <c r="I294" s="2"/>
      <c r="J294" s="2"/>
      <c r="K294" s="2"/>
      <c r="L294" s="2"/>
      <c r="M294" s="2"/>
      <c r="N294" s="2"/>
      <c r="O294" s="193"/>
      <c r="P294" s="194"/>
      <c r="Q294" s="194"/>
      <c r="R294" s="194"/>
      <c r="S294" s="194"/>
      <c r="T294" s="195"/>
      <c r="U294" s="2"/>
      <c r="V294" s="2"/>
    </row>
    <row r="295" spans="1:22" x14ac:dyDescent="0.3">
      <c r="A295" s="2"/>
      <c r="B295" s="2"/>
      <c r="C295" s="2"/>
      <c r="D295" s="2"/>
      <c r="E295" s="2"/>
      <c r="F295" s="2"/>
      <c r="G295" s="2"/>
      <c r="H295" s="2"/>
      <c r="I295" s="2"/>
      <c r="J295" s="2"/>
      <c r="K295" s="2"/>
      <c r="L295" s="2"/>
      <c r="M295" s="2"/>
      <c r="N295" s="2"/>
      <c r="O295" s="193"/>
      <c r="P295" s="194"/>
      <c r="Q295" s="194"/>
      <c r="R295" s="194"/>
      <c r="S295" s="194"/>
      <c r="T295" s="195"/>
      <c r="U295" s="2"/>
      <c r="V295" s="2"/>
    </row>
    <row r="296" spans="1:22" x14ac:dyDescent="0.3">
      <c r="A296" s="2"/>
      <c r="B296" s="2"/>
      <c r="C296" s="2"/>
      <c r="D296" s="2"/>
      <c r="E296" s="2"/>
      <c r="F296" s="2"/>
      <c r="G296" s="2"/>
      <c r="H296" s="2"/>
      <c r="I296" s="2"/>
      <c r="J296" s="2"/>
      <c r="K296" s="2"/>
      <c r="L296" s="2"/>
      <c r="M296" s="2"/>
      <c r="N296" s="2"/>
      <c r="O296" s="193"/>
      <c r="P296" s="194"/>
      <c r="Q296" s="194"/>
      <c r="R296" s="194"/>
      <c r="S296" s="194"/>
      <c r="T296" s="195"/>
      <c r="U296" s="2"/>
      <c r="V296" s="2"/>
    </row>
    <row r="297" spans="1:22" x14ac:dyDescent="0.3">
      <c r="A297" s="2"/>
      <c r="B297" s="2"/>
      <c r="C297" s="2"/>
      <c r="D297" s="2"/>
      <c r="E297" s="2"/>
      <c r="F297" s="2"/>
      <c r="G297" s="2"/>
      <c r="H297" s="2"/>
      <c r="I297" s="2"/>
      <c r="J297" s="2"/>
      <c r="K297" s="2"/>
      <c r="L297" s="2"/>
      <c r="M297" s="2"/>
      <c r="N297" s="2"/>
      <c r="O297" s="193"/>
      <c r="P297" s="194"/>
      <c r="Q297" s="194"/>
      <c r="R297" s="194"/>
      <c r="S297" s="194"/>
      <c r="T297" s="195"/>
      <c r="U297" s="2"/>
      <c r="V297" s="2"/>
    </row>
    <row r="298" spans="1:22" x14ac:dyDescent="0.3">
      <c r="A298" s="2"/>
      <c r="B298" s="2"/>
      <c r="C298" s="2"/>
      <c r="D298" s="2"/>
      <c r="E298" s="2"/>
      <c r="F298" s="2"/>
      <c r="G298" s="2"/>
      <c r="H298" s="2"/>
      <c r="I298" s="2"/>
      <c r="J298" s="2"/>
      <c r="K298" s="2"/>
      <c r="L298" s="2"/>
      <c r="M298" s="2"/>
      <c r="N298" s="2"/>
      <c r="O298" s="193"/>
      <c r="P298" s="194"/>
      <c r="Q298" s="194"/>
      <c r="R298" s="194"/>
      <c r="S298" s="194"/>
      <c r="T298" s="195"/>
      <c r="U298" s="2"/>
      <c r="V298" s="2"/>
    </row>
    <row r="299" spans="1:22" x14ac:dyDescent="0.3">
      <c r="A299" s="2"/>
      <c r="B299" s="2"/>
      <c r="C299" s="2"/>
      <c r="D299" s="2"/>
      <c r="E299" s="2"/>
      <c r="F299" s="2"/>
      <c r="G299" s="2"/>
      <c r="H299" s="2"/>
      <c r="I299" s="2"/>
      <c r="J299" s="2"/>
      <c r="K299" s="2"/>
      <c r="L299" s="2"/>
      <c r="M299" s="2"/>
      <c r="N299" s="2"/>
      <c r="O299" s="193"/>
      <c r="P299" s="194"/>
      <c r="Q299" s="194"/>
      <c r="R299" s="194"/>
      <c r="S299" s="194"/>
      <c r="T299" s="195"/>
      <c r="U299" s="2"/>
      <c r="V299" s="2"/>
    </row>
    <row r="300" spans="1:22" x14ac:dyDescent="0.3">
      <c r="A300" s="2"/>
      <c r="B300" s="2"/>
      <c r="C300" s="2"/>
      <c r="D300" s="2"/>
      <c r="E300" s="2"/>
      <c r="F300" s="2"/>
      <c r="G300" s="2"/>
      <c r="H300" s="2"/>
      <c r="I300" s="2"/>
      <c r="J300" s="2"/>
      <c r="K300" s="2"/>
      <c r="L300" s="2"/>
      <c r="M300" s="2"/>
      <c r="N300" s="2"/>
      <c r="O300" s="193"/>
      <c r="P300" s="194"/>
      <c r="Q300" s="194"/>
      <c r="R300" s="194"/>
      <c r="S300" s="194"/>
      <c r="T300" s="195"/>
      <c r="U300" s="2"/>
      <c r="V300" s="2"/>
    </row>
    <row r="301" spans="1:22" x14ac:dyDescent="0.3">
      <c r="A301" s="2"/>
      <c r="B301" s="2"/>
      <c r="C301" s="2"/>
      <c r="D301" s="2"/>
      <c r="E301" s="2"/>
      <c r="F301" s="2"/>
      <c r="G301" s="2"/>
      <c r="H301" s="2"/>
      <c r="I301" s="2"/>
      <c r="J301" s="2"/>
      <c r="K301" s="2"/>
      <c r="L301" s="2"/>
      <c r="M301" s="2"/>
      <c r="N301" s="2"/>
      <c r="O301" s="193"/>
      <c r="P301" s="194"/>
      <c r="Q301" s="194"/>
      <c r="R301" s="194"/>
      <c r="S301" s="194"/>
      <c r="T301" s="195"/>
      <c r="U301" s="2"/>
      <c r="V301" s="2"/>
    </row>
    <row r="302" spans="1:22" x14ac:dyDescent="0.3">
      <c r="A302" s="2"/>
      <c r="B302" s="2"/>
      <c r="C302" s="2"/>
      <c r="D302" s="2"/>
      <c r="E302" s="2"/>
      <c r="F302" s="2"/>
      <c r="G302" s="2"/>
      <c r="H302" s="2"/>
      <c r="I302" s="2"/>
      <c r="J302" s="2"/>
      <c r="K302" s="2"/>
      <c r="L302" s="2"/>
      <c r="M302" s="2"/>
      <c r="N302" s="2"/>
      <c r="O302" s="193"/>
      <c r="P302" s="194"/>
      <c r="Q302" s="194"/>
      <c r="R302" s="194"/>
      <c r="S302" s="194"/>
      <c r="T302" s="195"/>
      <c r="U302" s="2"/>
      <c r="V302" s="2"/>
    </row>
    <row r="303" spans="1:22" x14ac:dyDescent="0.3">
      <c r="A303" s="2"/>
      <c r="B303" s="2"/>
      <c r="C303" s="2"/>
      <c r="D303" s="2"/>
      <c r="E303" s="2"/>
      <c r="F303" s="2"/>
      <c r="G303" s="2"/>
      <c r="H303" s="2"/>
      <c r="I303" s="2"/>
      <c r="J303" s="2"/>
      <c r="K303" s="2"/>
      <c r="L303" s="2"/>
      <c r="M303" s="2"/>
      <c r="N303" s="2"/>
      <c r="O303" s="193"/>
      <c r="P303" s="194"/>
      <c r="Q303" s="194"/>
      <c r="R303" s="194"/>
      <c r="S303" s="194"/>
      <c r="T303" s="195"/>
      <c r="U303" s="2"/>
      <c r="V303" s="2"/>
    </row>
    <row r="304" spans="1:22" x14ac:dyDescent="0.3">
      <c r="A304" s="2"/>
      <c r="B304" s="2"/>
      <c r="C304" s="2"/>
      <c r="D304" s="2"/>
      <c r="E304" s="2"/>
      <c r="F304" s="2"/>
      <c r="G304" s="2"/>
      <c r="H304" s="2"/>
      <c r="I304" s="2"/>
      <c r="J304" s="2"/>
      <c r="K304" s="2"/>
      <c r="L304" s="2"/>
      <c r="M304" s="2"/>
      <c r="N304" s="2"/>
      <c r="O304" s="193"/>
      <c r="P304" s="194"/>
      <c r="Q304" s="194"/>
      <c r="R304" s="194"/>
      <c r="S304" s="194"/>
      <c r="T304" s="195"/>
      <c r="U304" s="2"/>
      <c r="V304" s="2"/>
    </row>
    <row r="305" spans="1:22" x14ac:dyDescent="0.3">
      <c r="A305" s="2"/>
      <c r="B305" s="2"/>
      <c r="C305" s="2"/>
      <c r="D305" s="2"/>
      <c r="E305" s="2"/>
      <c r="F305" s="2"/>
      <c r="G305" s="2"/>
      <c r="H305" s="2"/>
      <c r="I305" s="2"/>
      <c r="J305" s="2"/>
      <c r="K305" s="2"/>
      <c r="L305" s="2"/>
      <c r="M305" s="2"/>
      <c r="N305" s="2"/>
      <c r="O305" s="193"/>
      <c r="P305" s="194"/>
      <c r="Q305" s="194"/>
      <c r="R305" s="194"/>
      <c r="S305" s="194"/>
      <c r="T305" s="195"/>
      <c r="U305" s="2"/>
      <c r="V305" s="2"/>
    </row>
    <row r="306" spans="1:22" x14ac:dyDescent="0.3">
      <c r="A306" s="2"/>
      <c r="B306" s="2"/>
      <c r="C306" s="2"/>
      <c r="D306" s="2"/>
      <c r="E306" s="2"/>
      <c r="F306" s="2"/>
      <c r="G306" s="2"/>
      <c r="H306" s="2"/>
      <c r="I306" s="2"/>
      <c r="J306" s="2"/>
      <c r="K306" s="2"/>
      <c r="L306" s="2"/>
      <c r="M306" s="2"/>
      <c r="N306" s="2"/>
      <c r="O306" s="193"/>
      <c r="P306" s="194"/>
      <c r="Q306" s="194"/>
      <c r="R306" s="194"/>
      <c r="S306" s="194"/>
      <c r="T306" s="195"/>
      <c r="U306" s="2"/>
      <c r="V306" s="2"/>
    </row>
    <row r="307" spans="1:22" x14ac:dyDescent="0.3">
      <c r="A307" s="2"/>
      <c r="B307" s="2"/>
      <c r="C307" s="2"/>
      <c r="D307" s="2"/>
      <c r="E307" s="2"/>
      <c r="F307" s="2"/>
      <c r="G307" s="2"/>
      <c r="H307" s="2"/>
      <c r="I307" s="2"/>
      <c r="J307" s="2"/>
      <c r="K307" s="2"/>
      <c r="L307" s="2"/>
      <c r="M307" s="2"/>
      <c r="N307" s="2"/>
      <c r="O307" s="196"/>
      <c r="P307" s="197"/>
      <c r="Q307" s="197"/>
      <c r="R307" s="197"/>
      <c r="S307" s="197"/>
      <c r="T307" s="198"/>
      <c r="U307" s="2"/>
      <c r="V307" s="2"/>
    </row>
    <row r="308" spans="1:22" x14ac:dyDescent="0.3">
      <c r="A308" s="2"/>
      <c r="B308" s="2"/>
      <c r="C308" s="2"/>
      <c r="D308" s="2"/>
      <c r="E308" s="2"/>
      <c r="F308" s="2"/>
      <c r="G308" s="2"/>
      <c r="H308" s="2"/>
      <c r="I308" s="2"/>
      <c r="J308" s="2"/>
      <c r="K308" s="2"/>
      <c r="L308" s="2"/>
      <c r="M308" s="2"/>
      <c r="N308" s="2"/>
      <c r="O308" s="2"/>
      <c r="P308" s="2"/>
      <c r="Q308" s="2"/>
      <c r="R308" s="2"/>
      <c r="S308" s="2"/>
      <c r="T308" s="2"/>
      <c r="U308" s="2"/>
      <c r="V308" s="2"/>
    </row>
    <row r="309" spans="1:22" x14ac:dyDescent="0.3">
      <c r="A309" s="2"/>
      <c r="B309" s="2"/>
      <c r="C309" s="2"/>
      <c r="D309" s="2"/>
      <c r="E309" s="2"/>
      <c r="F309" s="2"/>
      <c r="G309" s="2"/>
      <c r="H309" s="2"/>
      <c r="I309" s="2"/>
      <c r="J309" s="2"/>
      <c r="K309" s="2"/>
      <c r="L309" s="2"/>
      <c r="M309" s="2"/>
      <c r="N309" s="2"/>
      <c r="O309" s="2"/>
      <c r="P309" s="2"/>
      <c r="Q309" s="2"/>
      <c r="R309" s="2"/>
      <c r="S309" s="2"/>
      <c r="T309" s="2"/>
      <c r="U309" s="2"/>
      <c r="V309" s="2"/>
    </row>
    <row r="310" spans="1:22" x14ac:dyDescent="0.3">
      <c r="A310" s="2"/>
      <c r="B310" s="2"/>
      <c r="C310" s="2"/>
      <c r="D310" s="2"/>
      <c r="E310" s="2"/>
      <c r="F310" s="2"/>
      <c r="G310" s="2"/>
      <c r="H310" s="2"/>
      <c r="I310" s="2"/>
      <c r="J310" s="2"/>
      <c r="K310" s="2"/>
      <c r="L310" s="2"/>
      <c r="M310" s="2"/>
      <c r="N310" s="2"/>
      <c r="O310" s="2"/>
      <c r="P310" s="2"/>
      <c r="Q310" s="2"/>
      <c r="R310" s="2"/>
      <c r="S310" s="2"/>
      <c r="T310" s="2"/>
      <c r="U310" s="2"/>
      <c r="V310" s="2"/>
    </row>
    <row r="311" spans="1:22" x14ac:dyDescent="0.3">
      <c r="A311" s="2"/>
      <c r="B311" s="2"/>
      <c r="C311" s="2"/>
      <c r="D311" s="2"/>
      <c r="E311" s="2"/>
      <c r="F311" s="2"/>
      <c r="G311" s="2"/>
      <c r="H311" s="2"/>
      <c r="I311" s="2"/>
      <c r="J311" s="2"/>
      <c r="K311" s="2"/>
      <c r="L311" s="2"/>
      <c r="M311" s="2"/>
      <c r="N311" s="2"/>
      <c r="O311" s="2"/>
      <c r="P311" s="2"/>
      <c r="Q311" s="2"/>
      <c r="R311" s="2"/>
      <c r="S311" s="2"/>
      <c r="T311" s="2"/>
      <c r="U311" s="2"/>
      <c r="V311" s="2"/>
    </row>
    <row r="312" spans="1:22" x14ac:dyDescent="0.3">
      <c r="A312" s="2"/>
      <c r="B312" s="2"/>
      <c r="C312" s="2"/>
      <c r="D312" s="2"/>
      <c r="E312" s="2"/>
      <c r="F312" s="2"/>
      <c r="G312" s="2"/>
      <c r="H312" s="2"/>
      <c r="I312" s="2"/>
      <c r="J312" s="2"/>
      <c r="K312" s="2"/>
      <c r="L312" s="2"/>
      <c r="M312" s="2"/>
      <c r="N312" s="2"/>
      <c r="O312" s="2"/>
      <c r="P312" s="2"/>
      <c r="Q312" s="2"/>
      <c r="R312" s="2"/>
      <c r="S312" s="2"/>
      <c r="T312" s="2"/>
      <c r="U312" s="2"/>
      <c r="V312" s="2"/>
    </row>
    <row r="313" spans="1:22" x14ac:dyDescent="0.3">
      <c r="A313" s="2"/>
      <c r="B313" s="2"/>
      <c r="C313" s="2"/>
      <c r="D313" s="2"/>
      <c r="E313" s="2"/>
      <c r="F313" s="2"/>
      <c r="G313" s="2"/>
      <c r="H313" s="2"/>
      <c r="I313" s="2"/>
      <c r="J313" s="2"/>
      <c r="K313" s="2"/>
      <c r="L313" s="2"/>
      <c r="M313" s="2"/>
      <c r="N313" s="2"/>
      <c r="O313" s="2"/>
      <c r="P313" s="2"/>
      <c r="Q313" s="2"/>
      <c r="R313" s="2"/>
      <c r="S313" s="2"/>
      <c r="T313" s="2"/>
      <c r="U313" s="2"/>
      <c r="V313" s="2"/>
    </row>
    <row r="314" spans="1:22" x14ac:dyDescent="0.3">
      <c r="A314" s="2"/>
      <c r="B314" s="2"/>
      <c r="C314" s="2"/>
      <c r="D314" s="2"/>
      <c r="E314" s="2"/>
      <c r="F314" s="2"/>
      <c r="G314" s="2"/>
      <c r="H314" s="2"/>
      <c r="I314" s="2"/>
      <c r="J314" s="2"/>
      <c r="K314" s="2"/>
      <c r="L314" s="2"/>
      <c r="M314" s="2"/>
      <c r="N314" s="2"/>
      <c r="O314" s="2"/>
      <c r="P314" s="2"/>
      <c r="Q314" s="2"/>
      <c r="R314" s="2"/>
      <c r="S314" s="2"/>
      <c r="T314" s="2"/>
      <c r="U314" s="2"/>
      <c r="V314" s="2"/>
    </row>
    <row r="315" spans="1:22" x14ac:dyDescent="0.3">
      <c r="A315" s="2"/>
      <c r="B315" s="2"/>
      <c r="C315" s="2"/>
      <c r="D315" s="2"/>
      <c r="E315" s="2"/>
      <c r="F315" s="2"/>
      <c r="G315" s="2"/>
      <c r="H315" s="2"/>
      <c r="I315" s="2"/>
      <c r="J315" s="2"/>
      <c r="K315" s="2"/>
      <c r="L315" s="2"/>
      <c r="M315" s="2"/>
      <c r="N315" s="2"/>
      <c r="O315" s="2"/>
      <c r="P315" s="2"/>
      <c r="Q315" s="2"/>
      <c r="R315" s="2"/>
      <c r="S315" s="2"/>
      <c r="T315" s="2"/>
      <c r="U315" s="61" t="s">
        <v>408</v>
      </c>
      <c r="V315" s="61" t="s">
        <v>411</v>
      </c>
    </row>
    <row r="316" spans="1:22" x14ac:dyDescent="0.3">
      <c r="A316" s="2"/>
      <c r="B316" s="2"/>
      <c r="C316" s="2"/>
      <c r="D316" s="2"/>
      <c r="E316" s="2"/>
      <c r="F316" s="2"/>
      <c r="G316" s="2"/>
      <c r="H316" s="2"/>
      <c r="I316" s="2"/>
      <c r="J316" s="2"/>
      <c r="K316" s="2"/>
      <c r="L316" s="2"/>
      <c r="M316" s="2"/>
      <c r="N316" s="2"/>
      <c r="O316" s="2"/>
      <c r="P316" s="2"/>
      <c r="Q316" s="2"/>
      <c r="R316" s="2"/>
      <c r="S316" s="2"/>
      <c r="T316" s="2"/>
      <c r="U316" s="61" t="s">
        <v>45</v>
      </c>
      <c r="V316" s="62" t="s">
        <v>413</v>
      </c>
    </row>
    <row r="317" spans="1:22" x14ac:dyDescent="0.3">
      <c r="A317" s="2"/>
      <c r="B317" s="2"/>
      <c r="C317" s="2"/>
      <c r="D317" s="2"/>
      <c r="E317" s="2"/>
      <c r="F317" s="2"/>
      <c r="G317" s="2"/>
      <c r="H317" s="2"/>
      <c r="I317" s="2"/>
      <c r="J317" s="2"/>
      <c r="K317" s="2"/>
      <c r="L317" s="2"/>
      <c r="M317" s="2"/>
      <c r="N317" s="2"/>
      <c r="O317" s="2"/>
      <c r="P317" s="2"/>
      <c r="Q317" s="2"/>
      <c r="R317" s="2"/>
      <c r="S317" s="2"/>
      <c r="T317" s="2"/>
      <c r="U317" s="61" t="s">
        <v>48</v>
      </c>
      <c r="V317" s="62" t="s">
        <v>414</v>
      </c>
    </row>
    <row r="318" spans="1:22" x14ac:dyDescent="0.3">
      <c r="A318" s="2"/>
      <c r="B318" s="2"/>
      <c r="C318" s="2"/>
      <c r="D318" s="2"/>
      <c r="E318" s="2"/>
      <c r="F318" s="2"/>
      <c r="G318" s="2"/>
      <c r="H318" s="2"/>
      <c r="I318" s="2"/>
      <c r="J318" s="2"/>
      <c r="K318" s="2"/>
      <c r="L318" s="2"/>
      <c r="M318" s="2"/>
      <c r="N318" s="2"/>
      <c r="O318" s="2"/>
      <c r="P318" s="2"/>
      <c r="Q318" s="2"/>
      <c r="R318" s="2"/>
      <c r="S318" s="2"/>
      <c r="T318" s="2"/>
      <c r="U318" s="61" t="s">
        <v>49</v>
      </c>
      <c r="V318" s="62" t="s">
        <v>413</v>
      </c>
    </row>
    <row r="319" spans="1:22" x14ac:dyDescent="0.3">
      <c r="A319" s="2"/>
      <c r="B319" s="2"/>
      <c r="C319" s="2"/>
      <c r="D319" s="2"/>
      <c r="E319" s="2"/>
      <c r="F319" s="2"/>
      <c r="G319" s="2"/>
      <c r="H319" s="2"/>
      <c r="I319" s="2"/>
      <c r="J319" s="2"/>
      <c r="K319" s="2"/>
      <c r="L319" s="2"/>
      <c r="M319" s="2"/>
      <c r="N319" s="2"/>
      <c r="O319" s="2"/>
      <c r="P319" s="2"/>
      <c r="Q319" s="2"/>
      <c r="R319" s="2"/>
      <c r="S319" s="2"/>
      <c r="T319" s="2"/>
      <c r="U319" s="61" t="s">
        <v>51</v>
      </c>
      <c r="V319" s="62" t="s">
        <v>413</v>
      </c>
    </row>
    <row r="320" spans="1:22" x14ac:dyDescent="0.3">
      <c r="A320" s="2"/>
      <c r="B320" s="2"/>
      <c r="C320" s="2"/>
      <c r="D320" s="2"/>
      <c r="E320" s="2"/>
      <c r="F320" s="2"/>
      <c r="G320" s="2"/>
      <c r="H320" s="2"/>
      <c r="I320" s="2"/>
      <c r="J320" s="2"/>
      <c r="K320" s="2"/>
      <c r="L320" s="2"/>
      <c r="M320" s="2"/>
      <c r="N320" s="2"/>
      <c r="O320" s="181" t="s">
        <v>428</v>
      </c>
      <c r="P320" s="182"/>
      <c r="Q320" s="182"/>
      <c r="R320" s="182"/>
      <c r="S320" s="182"/>
      <c r="T320" s="183"/>
      <c r="U320" s="61" t="s">
        <v>586</v>
      </c>
      <c r="V320" s="62" t="s">
        <v>414</v>
      </c>
    </row>
    <row r="321" spans="1:22" x14ac:dyDescent="0.3">
      <c r="A321" s="2"/>
      <c r="B321" s="2"/>
      <c r="C321" s="2"/>
      <c r="D321" s="2"/>
      <c r="E321" s="2"/>
      <c r="F321" s="2"/>
      <c r="G321" s="2"/>
      <c r="H321" s="2"/>
      <c r="I321" s="2"/>
      <c r="J321" s="2"/>
      <c r="K321" s="2"/>
      <c r="L321" s="2"/>
      <c r="M321" s="2"/>
      <c r="N321" s="2"/>
      <c r="O321" s="184"/>
      <c r="P321" s="185"/>
      <c r="Q321" s="185"/>
      <c r="R321" s="185"/>
      <c r="S321" s="185"/>
      <c r="T321" s="186"/>
      <c r="U321" s="61" t="s">
        <v>55</v>
      </c>
      <c r="V321" s="62" t="s">
        <v>413</v>
      </c>
    </row>
    <row r="322" spans="1:22" x14ac:dyDescent="0.3">
      <c r="A322" s="2"/>
      <c r="B322" s="2"/>
      <c r="C322" s="2"/>
      <c r="D322" s="2"/>
      <c r="E322" s="2"/>
      <c r="F322" s="2"/>
      <c r="G322" s="2"/>
      <c r="H322" s="2"/>
      <c r="I322" s="2"/>
      <c r="J322" s="2"/>
      <c r="K322" s="2"/>
      <c r="L322" s="2"/>
      <c r="M322" s="2"/>
      <c r="N322" s="2"/>
      <c r="O322" s="187"/>
      <c r="P322" s="188"/>
      <c r="Q322" s="188"/>
      <c r="R322" s="188"/>
      <c r="S322" s="188"/>
      <c r="T322" s="189"/>
      <c r="U322" s="61" t="s">
        <v>58</v>
      </c>
      <c r="V322" s="62" t="s">
        <v>413</v>
      </c>
    </row>
    <row r="323" spans="1:22" x14ac:dyDescent="0.3">
      <c r="A323" s="2"/>
      <c r="B323" s="2"/>
      <c r="C323" s="2"/>
      <c r="D323" s="2"/>
      <c r="E323" s="2"/>
      <c r="F323" s="2"/>
      <c r="G323" s="2"/>
      <c r="H323" s="2"/>
      <c r="I323" s="2"/>
      <c r="J323" s="2"/>
      <c r="K323" s="2"/>
      <c r="L323" s="2"/>
      <c r="M323" s="2"/>
      <c r="N323" s="2"/>
      <c r="O323" s="2"/>
      <c r="P323" s="2"/>
      <c r="Q323" s="2"/>
      <c r="R323" s="2"/>
      <c r="S323" s="2"/>
      <c r="T323" s="2"/>
      <c r="U323" s="61" t="s">
        <v>59</v>
      </c>
      <c r="V323" s="62" t="s">
        <v>413</v>
      </c>
    </row>
    <row r="324" spans="1:22" x14ac:dyDescent="0.3">
      <c r="A324" s="2"/>
      <c r="B324" s="2"/>
      <c r="C324" s="2"/>
      <c r="D324" s="2"/>
      <c r="E324" s="2"/>
      <c r="F324" s="2"/>
      <c r="G324" s="2"/>
      <c r="H324" s="2"/>
      <c r="I324" s="2"/>
      <c r="J324" s="2"/>
      <c r="K324" s="2"/>
      <c r="L324" s="2"/>
      <c r="M324" s="2"/>
      <c r="N324" s="2"/>
      <c r="O324" s="2"/>
      <c r="P324" s="2"/>
      <c r="Q324" s="2"/>
      <c r="R324" s="2"/>
      <c r="S324" s="2"/>
      <c r="T324" s="2"/>
      <c r="U324" s="61" t="s">
        <v>60</v>
      </c>
      <c r="V324" s="62" t="s">
        <v>413</v>
      </c>
    </row>
    <row r="325" spans="1:22" ht="14.4" customHeight="1" x14ac:dyDescent="0.3">
      <c r="A325" s="2"/>
      <c r="B325" s="2"/>
      <c r="C325" s="2"/>
      <c r="D325" s="2"/>
      <c r="E325" s="2"/>
      <c r="F325" s="2"/>
      <c r="G325" s="2"/>
      <c r="H325" s="2"/>
      <c r="I325" s="2"/>
      <c r="J325" s="2"/>
      <c r="K325" s="2"/>
      <c r="L325" s="2"/>
      <c r="M325" s="2"/>
      <c r="N325" s="2"/>
      <c r="O325" s="190" t="s">
        <v>434</v>
      </c>
      <c r="P325" s="191"/>
      <c r="Q325" s="191"/>
      <c r="R325" s="191"/>
      <c r="S325" s="191"/>
      <c r="T325" s="192"/>
      <c r="U325" s="61" t="s">
        <v>61</v>
      </c>
      <c r="V325" s="62" t="s">
        <v>414</v>
      </c>
    </row>
    <row r="326" spans="1:22" x14ac:dyDescent="0.3">
      <c r="A326" s="2"/>
      <c r="B326" s="2"/>
      <c r="C326" s="2"/>
      <c r="D326" s="2"/>
      <c r="E326" s="2"/>
      <c r="F326" s="2"/>
      <c r="G326" s="2"/>
      <c r="H326" s="2"/>
      <c r="I326" s="2"/>
      <c r="J326" s="2"/>
      <c r="K326" s="2"/>
      <c r="L326" s="2"/>
      <c r="M326" s="2"/>
      <c r="N326" s="2"/>
      <c r="O326" s="193"/>
      <c r="P326" s="194"/>
      <c r="Q326" s="194"/>
      <c r="R326" s="194"/>
      <c r="S326" s="194"/>
      <c r="T326" s="195"/>
      <c r="U326" s="61" t="s">
        <v>64</v>
      </c>
      <c r="V326" s="62" t="s">
        <v>414</v>
      </c>
    </row>
    <row r="327" spans="1:22" x14ac:dyDescent="0.3">
      <c r="A327" s="2"/>
      <c r="B327" s="2"/>
      <c r="C327" s="2"/>
      <c r="D327" s="2"/>
      <c r="E327" s="2"/>
      <c r="F327" s="2"/>
      <c r="G327" s="2"/>
      <c r="H327" s="2"/>
      <c r="I327" s="2"/>
      <c r="J327" s="2"/>
      <c r="K327" s="2"/>
      <c r="L327" s="2"/>
      <c r="M327" s="2"/>
      <c r="N327" s="2"/>
      <c r="O327" s="193"/>
      <c r="P327" s="194"/>
      <c r="Q327" s="194"/>
      <c r="R327" s="194"/>
      <c r="S327" s="194"/>
      <c r="T327" s="195"/>
      <c r="U327" s="61" t="s">
        <v>66</v>
      </c>
      <c r="V327" s="62" t="s">
        <v>413</v>
      </c>
    </row>
    <row r="328" spans="1:22" x14ac:dyDescent="0.3">
      <c r="A328" s="2"/>
      <c r="B328" s="2"/>
      <c r="C328" s="2"/>
      <c r="D328" s="2"/>
      <c r="E328" s="2"/>
      <c r="F328" s="2"/>
      <c r="G328" s="2"/>
      <c r="H328" s="2"/>
      <c r="I328" s="2"/>
      <c r="J328" s="2"/>
      <c r="K328" s="2"/>
      <c r="L328" s="2"/>
      <c r="M328" s="2"/>
      <c r="N328" s="2"/>
      <c r="O328" s="193"/>
      <c r="P328" s="194"/>
      <c r="Q328" s="194"/>
      <c r="R328" s="194"/>
      <c r="S328" s="194"/>
      <c r="T328" s="195"/>
      <c r="U328" s="61" t="s">
        <v>67</v>
      </c>
      <c r="V328" s="62" t="s">
        <v>414</v>
      </c>
    </row>
    <row r="329" spans="1:22" x14ac:dyDescent="0.3">
      <c r="A329" s="2"/>
      <c r="B329" s="2"/>
      <c r="C329" s="2"/>
      <c r="D329" s="2"/>
      <c r="E329" s="2"/>
      <c r="F329" s="2"/>
      <c r="G329" s="2"/>
      <c r="H329" s="2"/>
      <c r="I329" s="2"/>
      <c r="J329" s="2"/>
      <c r="K329" s="2"/>
      <c r="L329" s="2"/>
      <c r="M329" s="2"/>
      <c r="N329" s="2"/>
      <c r="O329" s="193"/>
      <c r="P329" s="194"/>
      <c r="Q329" s="194"/>
      <c r="R329" s="194"/>
      <c r="S329" s="194"/>
      <c r="T329" s="195"/>
      <c r="U329" s="61" t="s">
        <v>420</v>
      </c>
      <c r="V329" s="62" t="s">
        <v>414</v>
      </c>
    </row>
    <row r="330" spans="1:22" x14ac:dyDescent="0.3">
      <c r="A330" s="2"/>
      <c r="B330" s="2"/>
      <c r="C330" s="2"/>
      <c r="D330" s="2"/>
      <c r="E330" s="2"/>
      <c r="F330" s="2"/>
      <c r="G330" s="2"/>
      <c r="H330" s="2"/>
      <c r="I330" s="2"/>
      <c r="J330" s="2"/>
      <c r="K330" s="2"/>
      <c r="L330" s="2"/>
      <c r="M330" s="2"/>
      <c r="N330" s="2"/>
      <c r="O330" s="193"/>
      <c r="P330" s="194"/>
      <c r="Q330" s="194"/>
      <c r="R330" s="194"/>
      <c r="S330" s="194"/>
      <c r="T330" s="195"/>
      <c r="U330" s="61" t="s">
        <v>70</v>
      </c>
      <c r="V330" s="62" t="s">
        <v>413</v>
      </c>
    </row>
    <row r="331" spans="1:22" x14ac:dyDescent="0.3">
      <c r="A331" s="2"/>
      <c r="B331" s="2"/>
      <c r="C331" s="2"/>
      <c r="D331" s="2"/>
      <c r="E331" s="2"/>
      <c r="F331" s="2"/>
      <c r="G331" s="2"/>
      <c r="H331" s="2"/>
      <c r="I331" s="2"/>
      <c r="J331" s="2"/>
      <c r="K331" s="2"/>
      <c r="L331" s="2"/>
      <c r="M331" s="2"/>
      <c r="N331" s="2"/>
      <c r="O331" s="193"/>
      <c r="P331" s="194"/>
      <c r="Q331" s="194"/>
      <c r="R331" s="194"/>
      <c r="S331" s="194"/>
      <c r="T331" s="195"/>
      <c r="U331" s="61" t="s">
        <v>421</v>
      </c>
      <c r="V331" s="62" t="s">
        <v>413</v>
      </c>
    </row>
    <row r="332" spans="1:22" x14ac:dyDescent="0.3">
      <c r="A332" s="2"/>
      <c r="B332" s="2"/>
      <c r="C332" s="2"/>
      <c r="D332" s="2"/>
      <c r="E332" s="2"/>
      <c r="F332" s="2"/>
      <c r="G332" s="2"/>
      <c r="H332" s="2"/>
      <c r="I332" s="2"/>
      <c r="J332" s="2"/>
      <c r="K332" s="2"/>
      <c r="L332" s="2"/>
      <c r="M332" s="2"/>
      <c r="N332" s="2"/>
      <c r="O332" s="193"/>
      <c r="P332" s="194"/>
      <c r="Q332" s="194"/>
      <c r="R332" s="194"/>
      <c r="S332" s="194"/>
      <c r="T332" s="195"/>
      <c r="U332" s="61" t="s">
        <v>82</v>
      </c>
      <c r="V332" s="62" t="s">
        <v>413</v>
      </c>
    </row>
    <row r="333" spans="1:22" x14ac:dyDescent="0.3">
      <c r="A333" s="2"/>
      <c r="B333" s="2"/>
      <c r="C333" s="2"/>
      <c r="D333" s="2"/>
      <c r="E333" s="2"/>
      <c r="F333" s="2"/>
      <c r="G333" s="2"/>
      <c r="H333" s="2"/>
      <c r="I333" s="2"/>
      <c r="J333" s="2"/>
      <c r="K333" s="2"/>
      <c r="L333" s="2"/>
      <c r="M333" s="2"/>
      <c r="N333" s="2"/>
      <c r="O333" s="193"/>
      <c r="P333" s="194"/>
      <c r="Q333" s="194"/>
      <c r="R333" s="194"/>
      <c r="S333" s="194"/>
      <c r="T333" s="195"/>
      <c r="U333" s="61" t="s">
        <v>83</v>
      </c>
      <c r="V333" s="62" t="s">
        <v>414</v>
      </c>
    </row>
    <row r="334" spans="1:22" x14ac:dyDescent="0.3">
      <c r="A334" s="2"/>
      <c r="B334" s="2"/>
      <c r="C334" s="2"/>
      <c r="D334" s="2"/>
      <c r="E334" s="2"/>
      <c r="F334" s="2"/>
      <c r="G334" s="2"/>
      <c r="H334" s="2"/>
      <c r="I334" s="2"/>
      <c r="J334" s="2"/>
      <c r="K334" s="2"/>
      <c r="L334" s="2"/>
      <c r="M334" s="2"/>
      <c r="N334" s="2"/>
      <c r="O334" s="193"/>
      <c r="P334" s="194"/>
      <c r="Q334" s="194"/>
      <c r="R334" s="194"/>
      <c r="S334" s="194"/>
      <c r="T334" s="195"/>
      <c r="U334" s="61" t="s">
        <v>84</v>
      </c>
      <c r="V334" s="62" t="s">
        <v>414</v>
      </c>
    </row>
    <row r="335" spans="1:22" x14ac:dyDescent="0.3">
      <c r="A335" s="2"/>
      <c r="B335" s="2"/>
      <c r="C335" s="2"/>
      <c r="D335" s="2"/>
      <c r="E335" s="2"/>
      <c r="F335" s="2"/>
      <c r="G335" s="2"/>
      <c r="H335" s="2"/>
      <c r="I335" s="2"/>
      <c r="J335" s="2"/>
      <c r="K335" s="2"/>
      <c r="L335" s="2"/>
      <c r="M335" s="2"/>
      <c r="N335" s="2"/>
      <c r="O335" s="193"/>
      <c r="P335" s="194"/>
      <c r="Q335" s="194"/>
      <c r="R335" s="194"/>
      <c r="S335" s="194"/>
      <c r="T335" s="195"/>
      <c r="U335" s="61" t="s">
        <v>85</v>
      </c>
      <c r="V335" s="62" t="s">
        <v>413</v>
      </c>
    </row>
    <row r="336" spans="1:22" x14ac:dyDescent="0.3">
      <c r="A336" s="2"/>
      <c r="B336" s="2"/>
      <c r="C336" s="2"/>
      <c r="D336" s="2"/>
      <c r="E336" s="2"/>
      <c r="F336" s="2"/>
      <c r="G336" s="2"/>
      <c r="H336" s="2"/>
      <c r="I336" s="2"/>
      <c r="J336" s="2"/>
      <c r="K336" s="2"/>
      <c r="L336" s="2"/>
      <c r="M336" s="2"/>
      <c r="N336" s="2"/>
      <c r="O336" s="193"/>
      <c r="P336" s="194"/>
      <c r="Q336" s="194"/>
      <c r="R336" s="194"/>
      <c r="S336" s="194"/>
      <c r="T336" s="195"/>
      <c r="U336" s="2"/>
      <c r="V336" s="2"/>
    </row>
    <row r="337" spans="1:22" x14ac:dyDescent="0.3">
      <c r="A337" s="2"/>
      <c r="B337" s="2"/>
      <c r="C337" s="2"/>
      <c r="D337" s="2"/>
      <c r="E337" s="2"/>
      <c r="F337" s="2"/>
      <c r="G337" s="2"/>
      <c r="H337" s="2"/>
      <c r="I337" s="2"/>
      <c r="J337" s="2"/>
      <c r="K337" s="2"/>
      <c r="L337" s="2"/>
      <c r="M337" s="2"/>
      <c r="N337" s="2"/>
      <c r="O337" s="193"/>
      <c r="P337" s="194"/>
      <c r="Q337" s="194"/>
      <c r="R337" s="194"/>
      <c r="S337" s="194"/>
      <c r="T337" s="195"/>
      <c r="U337" s="2"/>
      <c r="V337" s="2"/>
    </row>
    <row r="338" spans="1:22" x14ac:dyDescent="0.3">
      <c r="A338" s="2"/>
      <c r="B338" s="2"/>
      <c r="C338" s="2"/>
      <c r="D338" s="2"/>
      <c r="E338" s="2"/>
      <c r="F338" s="2"/>
      <c r="G338" s="2"/>
      <c r="H338" s="2"/>
      <c r="I338" s="2"/>
      <c r="J338" s="2"/>
      <c r="K338" s="2"/>
      <c r="L338" s="2"/>
      <c r="M338" s="2"/>
      <c r="N338" s="2"/>
      <c r="O338" s="193"/>
      <c r="P338" s="194"/>
      <c r="Q338" s="194"/>
      <c r="R338" s="194"/>
      <c r="S338" s="194"/>
      <c r="T338" s="195"/>
      <c r="U338" s="61" t="s">
        <v>430</v>
      </c>
      <c r="V338" s="63">
        <f>20/44</f>
        <v>0.45454545454545453</v>
      </c>
    </row>
    <row r="339" spans="1:22" x14ac:dyDescent="0.3">
      <c r="A339" s="2"/>
      <c r="B339" s="2"/>
      <c r="C339" s="2"/>
      <c r="D339" s="2"/>
      <c r="E339" s="2"/>
      <c r="F339" s="2"/>
      <c r="G339" s="2"/>
      <c r="H339" s="2"/>
      <c r="I339" s="2"/>
      <c r="J339" s="2"/>
      <c r="K339" s="2"/>
      <c r="L339" s="2"/>
      <c r="M339" s="2"/>
      <c r="N339" s="2"/>
      <c r="O339" s="193"/>
      <c r="P339" s="194"/>
      <c r="Q339" s="194"/>
      <c r="R339" s="194"/>
      <c r="S339" s="194"/>
      <c r="T339" s="195"/>
      <c r="U339" s="63" t="s">
        <v>431</v>
      </c>
      <c r="V339" s="64">
        <f>13/44</f>
        <v>0.29545454545454547</v>
      </c>
    </row>
    <row r="340" spans="1:22" x14ac:dyDescent="0.3">
      <c r="A340" s="2"/>
      <c r="B340" s="2"/>
      <c r="C340" s="2"/>
      <c r="D340" s="2"/>
      <c r="E340" s="2"/>
      <c r="F340" s="2"/>
      <c r="G340" s="2"/>
      <c r="H340" s="2"/>
      <c r="I340" s="2"/>
      <c r="J340" s="2"/>
      <c r="K340" s="2"/>
      <c r="L340" s="2"/>
      <c r="M340" s="2"/>
      <c r="N340" s="2"/>
      <c r="O340" s="193"/>
      <c r="P340" s="194"/>
      <c r="Q340" s="194"/>
      <c r="R340" s="194"/>
      <c r="S340" s="194"/>
      <c r="T340" s="195"/>
      <c r="U340" s="61" t="s">
        <v>432</v>
      </c>
      <c r="V340" s="65">
        <v>0.15909090909090909</v>
      </c>
    </row>
    <row r="341" spans="1:22" x14ac:dyDescent="0.3">
      <c r="A341" s="2"/>
      <c r="B341" s="2"/>
      <c r="C341" s="2"/>
      <c r="D341" s="2"/>
      <c r="E341" s="2"/>
      <c r="F341" s="2"/>
      <c r="G341" s="2"/>
      <c r="H341" s="2"/>
      <c r="I341" s="2"/>
      <c r="J341" s="2"/>
      <c r="K341" s="2"/>
      <c r="L341" s="2"/>
      <c r="M341" s="2"/>
      <c r="N341" s="2"/>
      <c r="O341" s="193"/>
      <c r="P341" s="194"/>
      <c r="Q341" s="194"/>
      <c r="R341" s="194"/>
      <c r="S341" s="194"/>
      <c r="T341" s="195"/>
      <c r="U341" s="63" t="s">
        <v>433</v>
      </c>
      <c r="V341" s="66">
        <v>9.0909090909090912E-2</v>
      </c>
    </row>
    <row r="342" spans="1:22" x14ac:dyDescent="0.3">
      <c r="A342" s="2"/>
      <c r="B342" s="2"/>
      <c r="C342" s="2"/>
      <c r="D342" s="2"/>
      <c r="E342" s="2"/>
      <c r="F342" s="2"/>
      <c r="G342" s="2"/>
      <c r="H342" s="2"/>
      <c r="I342" s="2"/>
      <c r="J342" s="2"/>
      <c r="K342" s="2"/>
      <c r="L342" s="2"/>
      <c r="M342" s="2"/>
      <c r="N342" s="2"/>
      <c r="O342" s="193"/>
      <c r="P342" s="194"/>
      <c r="Q342" s="194"/>
      <c r="R342" s="194"/>
      <c r="S342" s="194"/>
      <c r="T342" s="195"/>
      <c r="U342" s="2"/>
      <c r="V342" s="2"/>
    </row>
    <row r="343" spans="1:22" x14ac:dyDescent="0.3">
      <c r="A343" s="2"/>
      <c r="B343" s="2"/>
      <c r="C343" s="2"/>
      <c r="D343" s="2"/>
      <c r="E343" s="2"/>
      <c r="F343" s="2"/>
      <c r="G343" s="2"/>
      <c r="H343" s="2"/>
      <c r="I343" s="2"/>
      <c r="J343" s="2"/>
      <c r="K343" s="2"/>
      <c r="L343" s="2"/>
      <c r="M343" s="2"/>
      <c r="N343" s="2"/>
      <c r="O343" s="193"/>
      <c r="P343" s="194"/>
      <c r="Q343" s="194"/>
      <c r="R343" s="194"/>
      <c r="S343" s="194"/>
      <c r="T343" s="195"/>
      <c r="U343" s="2"/>
      <c r="V343" s="2"/>
    </row>
    <row r="344" spans="1:22" x14ac:dyDescent="0.3">
      <c r="A344" s="2"/>
      <c r="B344" s="2"/>
      <c r="C344" s="2"/>
      <c r="D344" s="2"/>
      <c r="E344" s="2"/>
      <c r="F344" s="2"/>
      <c r="G344" s="2"/>
      <c r="H344" s="2"/>
      <c r="I344" s="2"/>
      <c r="J344" s="2"/>
      <c r="K344" s="2"/>
      <c r="L344" s="2"/>
      <c r="M344" s="2"/>
      <c r="N344" s="2"/>
      <c r="O344" s="193"/>
      <c r="P344" s="194"/>
      <c r="Q344" s="194"/>
      <c r="R344" s="194"/>
      <c r="S344" s="194"/>
      <c r="T344" s="195"/>
      <c r="U344" s="2"/>
      <c r="V344" s="2"/>
    </row>
    <row r="345" spans="1:22" x14ac:dyDescent="0.3">
      <c r="A345" s="2"/>
      <c r="B345" s="2"/>
      <c r="C345" s="2"/>
      <c r="D345" s="2"/>
      <c r="E345" s="2"/>
      <c r="F345" s="2"/>
      <c r="G345" s="2"/>
      <c r="H345" s="2"/>
      <c r="I345" s="2"/>
      <c r="J345" s="2"/>
      <c r="K345" s="2"/>
      <c r="L345" s="2"/>
      <c r="M345" s="2"/>
      <c r="N345" s="2"/>
      <c r="O345" s="193"/>
      <c r="P345" s="194"/>
      <c r="Q345" s="194"/>
      <c r="R345" s="194"/>
      <c r="S345" s="194"/>
      <c r="T345" s="195"/>
      <c r="U345" s="2"/>
      <c r="V345" s="2"/>
    </row>
    <row r="346" spans="1:22" x14ac:dyDescent="0.3">
      <c r="A346" s="2"/>
      <c r="B346" s="2"/>
      <c r="C346" s="2"/>
      <c r="D346" s="2"/>
      <c r="E346" s="2"/>
      <c r="F346" s="2"/>
      <c r="G346" s="2"/>
      <c r="H346" s="2"/>
      <c r="I346" s="2"/>
      <c r="J346" s="2"/>
      <c r="K346" s="2"/>
      <c r="L346" s="2"/>
      <c r="M346" s="2"/>
      <c r="N346" s="2"/>
      <c r="O346" s="193"/>
      <c r="P346" s="194"/>
      <c r="Q346" s="194"/>
      <c r="R346" s="194"/>
      <c r="S346" s="194"/>
      <c r="T346" s="195"/>
      <c r="U346" s="2"/>
      <c r="V346" s="2"/>
    </row>
    <row r="347" spans="1:22" x14ac:dyDescent="0.3">
      <c r="A347" s="2"/>
      <c r="B347" s="2"/>
      <c r="C347" s="2"/>
      <c r="D347" s="2"/>
      <c r="E347" s="2"/>
      <c r="F347" s="2"/>
      <c r="G347" s="2"/>
      <c r="H347" s="2"/>
      <c r="I347" s="2"/>
      <c r="J347" s="2"/>
      <c r="K347" s="2"/>
      <c r="L347" s="2"/>
      <c r="M347" s="2"/>
      <c r="N347" s="2"/>
      <c r="O347" s="193"/>
      <c r="P347" s="194"/>
      <c r="Q347" s="194"/>
      <c r="R347" s="194"/>
      <c r="S347" s="194"/>
      <c r="T347" s="195"/>
      <c r="U347" s="2"/>
      <c r="V347" s="2"/>
    </row>
    <row r="348" spans="1:22" x14ac:dyDescent="0.3">
      <c r="A348" s="2"/>
      <c r="B348" s="2"/>
      <c r="C348" s="2"/>
      <c r="D348" s="2"/>
      <c r="E348" s="2"/>
      <c r="F348" s="2"/>
      <c r="G348" s="2"/>
      <c r="H348" s="2"/>
      <c r="I348" s="2"/>
      <c r="J348" s="2"/>
      <c r="K348" s="2"/>
      <c r="L348" s="2"/>
      <c r="M348" s="2"/>
      <c r="N348" s="2"/>
      <c r="O348" s="193"/>
      <c r="P348" s="194"/>
      <c r="Q348" s="194"/>
      <c r="R348" s="194"/>
      <c r="S348" s="194"/>
      <c r="T348" s="195"/>
      <c r="U348" s="2"/>
      <c r="V348" s="2"/>
    </row>
    <row r="349" spans="1:22" x14ac:dyDescent="0.3">
      <c r="A349" s="2"/>
      <c r="B349" s="2"/>
      <c r="C349" s="2"/>
      <c r="D349" s="2"/>
      <c r="E349" s="2"/>
      <c r="F349" s="2"/>
      <c r="G349" s="2"/>
      <c r="H349" s="2"/>
      <c r="I349" s="2"/>
      <c r="J349" s="2"/>
      <c r="K349" s="2"/>
      <c r="L349" s="2"/>
      <c r="M349" s="2"/>
      <c r="N349" s="2"/>
      <c r="O349" s="193"/>
      <c r="P349" s="194"/>
      <c r="Q349" s="194"/>
      <c r="R349" s="194"/>
      <c r="S349" s="194"/>
      <c r="T349" s="195"/>
      <c r="U349" s="2"/>
      <c r="V349" s="2"/>
    </row>
    <row r="350" spans="1:22" x14ac:dyDescent="0.3">
      <c r="A350" s="2"/>
      <c r="B350" s="2"/>
      <c r="C350" s="2"/>
      <c r="D350" s="2"/>
      <c r="E350" s="2"/>
      <c r="F350" s="2"/>
      <c r="G350" s="2"/>
      <c r="H350" s="2"/>
      <c r="I350" s="2"/>
      <c r="J350" s="2"/>
      <c r="K350" s="2"/>
      <c r="L350" s="2"/>
      <c r="M350" s="2"/>
      <c r="N350" s="2"/>
      <c r="O350" s="2"/>
      <c r="P350" s="2"/>
      <c r="Q350" s="2"/>
      <c r="R350" s="2"/>
      <c r="S350" s="2"/>
      <c r="T350" s="2"/>
      <c r="U350" s="2"/>
      <c r="V350" s="2"/>
    </row>
    <row r="351" spans="1:22" x14ac:dyDescent="0.3">
      <c r="A351" s="2"/>
      <c r="B351" s="2"/>
      <c r="C351" s="2"/>
      <c r="D351" s="2"/>
      <c r="E351" s="2"/>
      <c r="F351" s="2"/>
      <c r="G351" s="2"/>
      <c r="H351" s="2"/>
      <c r="I351" s="2"/>
      <c r="J351" s="2"/>
      <c r="K351" s="2"/>
      <c r="L351" s="2"/>
      <c r="M351" s="2"/>
      <c r="N351" s="2"/>
      <c r="O351" s="2"/>
      <c r="P351" s="2"/>
      <c r="Q351" s="2"/>
      <c r="R351" s="2"/>
      <c r="S351" s="2"/>
      <c r="T351" s="2"/>
      <c r="U351" s="2"/>
      <c r="V351" s="2"/>
    </row>
    <row r="352" spans="1:22" x14ac:dyDescent="0.3">
      <c r="A352" s="2"/>
      <c r="B352" s="2"/>
      <c r="C352" s="2"/>
      <c r="D352" s="2"/>
      <c r="E352" s="2"/>
      <c r="F352" s="2"/>
      <c r="G352" s="2"/>
      <c r="H352" s="2"/>
      <c r="I352" s="2"/>
      <c r="J352" s="2"/>
      <c r="K352" s="2"/>
      <c r="L352" s="2"/>
      <c r="M352" s="2"/>
      <c r="N352" s="2"/>
      <c r="O352" s="2"/>
      <c r="P352" s="2"/>
      <c r="Q352" s="2"/>
      <c r="R352" s="2"/>
      <c r="S352" s="2"/>
      <c r="T352" s="2"/>
      <c r="U352" s="2"/>
      <c r="V352" s="2"/>
    </row>
    <row r="353" spans="1:22" x14ac:dyDescent="0.3">
      <c r="A353" s="2"/>
      <c r="B353" s="2"/>
      <c r="C353" s="2"/>
      <c r="D353" s="2"/>
      <c r="E353" s="2"/>
      <c r="F353" s="2"/>
      <c r="G353" s="2"/>
      <c r="H353" s="2"/>
      <c r="I353" s="2"/>
      <c r="J353" s="2"/>
      <c r="K353" s="2"/>
      <c r="L353" s="2"/>
      <c r="M353" s="2"/>
      <c r="N353" s="2"/>
      <c r="O353" s="2"/>
      <c r="P353" s="2"/>
      <c r="Q353" s="2"/>
      <c r="R353" s="2"/>
      <c r="S353" s="2"/>
      <c r="T353" s="2"/>
      <c r="U353" s="2"/>
      <c r="V353" s="2"/>
    </row>
    <row r="354" spans="1:22" x14ac:dyDescent="0.3">
      <c r="A354" s="2"/>
      <c r="B354" s="2"/>
      <c r="C354" s="2"/>
      <c r="D354" s="2"/>
      <c r="E354" s="2"/>
      <c r="F354" s="2"/>
      <c r="G354" s="2"/>
      <c r="H354" s="2"/>
      <c r="I354" s="2"/>
      <c r="J354" s="2"/>
      <c r="K354" s="2"/>
      <c r="L354" s="2"/>
      <c r="M354" s="2"/>
      <c r="N354" s="2"/>
      <c r="O354" s="2"/>
      <c r="P354" s="2"/>
      <c r="Q354" s="2"/>
      <c r="R354" s="2"/>
      <c r="S354" s="2"/>
      <c r="T354" s="2"/>
      <c r="U354" s="2"/>
      <c r="V354" s="2"/>
    </row>
    <row r="355" spans="1:22" x14ac:dyDescent="0.3">
      <c r="A355" s="2"/>
      <c r="B355" s="2"/>
      <c r="C355" s="2"/>
      <c r="D355" s="2"/>
      <c r="E355" s="2"/>
      <c r="F355" s="2"/>
      <c r="G355" s="2"/>
      <c r="H355" s="2"/>
      <c r="I355" s="2"/>
      <c r="J355" s="2"/>
      <c r="K355" s="2"/>
      <c r="L355" s="2"/>
      <c r="M355" s="2"/>
      <c r="N355" s="2"/>
      <c r="O355" s="2"/>
      <c r="P355" s="2"/>
      <c r="Q355" s="2"/>
      <c r="R355" s="2"/>
      <c r="S355" s="2"/>
      <c r="T355" s="2"/>
      <c r="U355" s="2"/>
      <c r="V355" s="2"/>
    </row>
    <row r="356" spans="1:22" hidden="1" x14ac:dyDescent="0.3">
      <c r="A356" s="27"/>
      <c r="B356" s="27"/>
      <c r="C356" s="27"/>
      <c r="D356" s="27"/>
      <c r="E356" s="27"/>
      <c r="F356" s="27"/>
      <c r="G356" s="27"/>
      <c r="H356" s="27"/>
      <c r="I356" s="27"/>
      <c r="J356" s="27"/>
      <c r="K356" s="27"/>
      <c r="L356" s="27"/>
      <c r="M356" s="27"/>
      <c r="N356" s="27"/>
      <c r="O356" s="27"/>
      <c r="P356" s="27"/>
      <c r="Q356" s="27"/>
      <c r="R356" s="27"/>
      <c r="S356" s="27"/>
      <c r="T356" s="27"/>
      <c r="U356" s="27"/>
      <c r="V356" s="27"/>
    </row>
  </sheetData>
  <mergeCells count="59">
    <mergeCell ref="B76:C77"/>
    <mergeCell ref="B72:C73"/>
    <mergeCell ref="B94:C95"/>
    <mergeCell ref="C3:G4"/>
    <mergeCell ref="B8:I20"/>
    <mergeCell ref="B82:C83"/>
    <mergeCell ref="B74:C75"/>
    <mergeCell ref="B70:C71"/>
    <mergeCell ref="B48:C49"/>
    <mergeCell ref="B50:C51"/>
    <mergeCell ref="B52:C53"/>
    <mergeCell ref="B54:C55"/>
    <mergeCell ref="B56:C57"/>
    <mergeCell ref="B58:C59"/>
    <mergeCell ref="B60:C61"/>
    <mergeCell ref="B62:C63"/>
    <mergeCell ref="L8:S8"/>
    <mergeCell ref="B46:C47"/>
    <mergeCell ref="B28:C29"/>
    <mergeCell ref="B30:C31"/>
    <mergeCell ref="B32:C33"/>
    <mergeCell ref="B34:C35"/>
    <mergeCell ref="B36:C37"/>
    <mergeCell ref="B38:C39"/>
    <mergeCell ref="B40:C41"/>
    <mergeCell ref="B42:C43"/>
    <mergeCell ref="B44:C45"/>
    <mergeCell ref="B23:T25"/>
    <mergeCell ref="B64:C65"/>
    <mergeCell ref="B66:C67"/>
    <mergeCell ref="B68:C69"/>
    <mergeCell ref="B80:C81"/>
    <mergeCell ref="B175:T177"/>
    <mergeCell ref="B114:C115"/>
    <mergeCell ref="B106:C107"/>
    <mergeCell ref="B108:C109"/>
    <mergeCell ref="B110:C111"/>
    <mergeCell ref="B112:C113"/>
    <mergeCell ref="B118:K120"/>
    <mergeCell ref="N118:T120"/>
    <mergeCell ref="B98:C99"/>
    <mergeCell ref="B100:C101"/>
    <mergeCell ref="B102:C103"/>
    <mergeCell ref="B104:C105"/>
    <mergeCell ref="O320:T322"/>
    <mergeCell ref="O325:T349"/>
    <mergeCell ref="O229:T231"/>
    <mergeCell ref="O234:T265"/>
    <mergeCell ref="O182:T184"/>
    <mergeCell ref="O187:T224"/>
    <mergeCell ref="O271:T273"/>
    <mergeCell ref="O276:T307"/>
    <mergeCell ref="B96:C97"/>
    <mergeCell ref="B78:C79"/>
    <mergeCell ref="B84:C85"/>
    <mergeCell ref="B86:C87"/>
    <mergeCell ref="B88:C89"/>
    <mergeCell ref="B90:C91"/>
    <mergeCell ref="B92:C93"/>
  </mergeCells>
  <pageMargins left="0.7" right="0.7" top="0.75" bottom="0.75" header="0.3" footer="0.3"/>
  <drawing r:id="rId4"/>
  <tableParts count="1">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B5464-5848-41EA-9D13-0285A4FB4A9E}">
  <sheetPr codeName="Sheet3"/>
  <dimension ref="A1:V399"/>
  <sheetViews>
    <sheetView topLeftCell="A232" zoomScale="70" zoomScaleNormal="70" workbookViewId="0">
      <selection activeCell="C5" sqref="C5"/>
    </sheetView>
  </sheetViews>
  <sheetFormatPr defaultColWidth="0" defaultRowHeight="14.4" zeroHeight="1" x14ac:dyDescent="0.3"/>
  <cols>
    <col min="1" max="1" width="8.88671875" customWidth="1"/>
    <col min="2" max="2" width="37.21875" customWidth="1"/>
    <col min="3" max="3" width="38.44140625" customWidth="1"/>
    <col min="4" max="4" width="42" customWidth="1"/>
    <col min="5" max="5" width="41.6640625" customWidth="1"/>
    <col min="6" max="6" width="43.88671875" customWidth="1"/>
    <col min="7" max="7" width="50.44140625" customWidth="1"/>
    <col min="8" max="8" width="62.33203125" customWidth="1"/>
    <col min="9" max="9" width="31.88671875" customWidth="1"/>
    <col min="10" max="10" width="34.33203125" customWidth="1"/>
    <col min="11" max="11" width="57" customWidth="1"/>
    <col min="12" max="12" width="36.5546875" customWidth="1"/>
    <col min="13" max="13" width="33" customWidth="1"/>
    <col min="14" max="14" width="46.33203125" customWidth="1"/>
    <col min="15" max="15" width="50.5546875" customWidth="1"/>
    <col min="16" max="16" width="44" customWidth="1"/>
    <col min="17" max="17" width="36" customWidth="1"/>
    <col min="18" max="18" width="34.109375" bestFit="1" customWidth="1"/>
    <col min="19" max="19" width="43.5546875" customWidth="1"/>
    <col min="20" max="16384" width="8.88671875" hidden="1"/>
  </cols>
  <sheetData>
    <row r="1" spans="1:22" x14ac:dyDescent="0.3">
      <c r="A1" s="3"/>
      <c r="B1" s="4"/>
      <c r="C1" s="4"/>
      <c r="D1" s="4"/>
      <c r="E1" s="4"/>
      <c r="F1" s="4"/>
      <c r="G1" s="4"/>
      <c r="H1" s="4"/>
      <c r="I1" s="4"/>
      <c r="J1" s="4"/>
      <c r="K1" s="4"/>
      <c r="L1" s="4"/>
      <c r="M1" s="4"/>
      <c r="N1" s="4"/>
      <c r="O1" s="4"/>
      <c r="P1" s="4"/>
      <c r="Q1" s="4"/>
      <c r="R1" s="4"/>
      <c r="S1" s="4"/>
    </row>
    <row r="2" spans="1:22" x14ac:dyDescent="0.3">
      <c r="A2" s="6"/>
      <c r="B2" s="9"/>
      <c r="C2" s="10"/>
      <c r="D2" s="10"/>
      <c r="E2" s="10"/>
      <c r="F2" s="10"/>
      <c r="G2" s="10"/>
      <c r="H2" s="10"/>
      <c r="I2" s="10"/>
      <c r="J2" s="10"/>
      <c r="K2" s="10"/>
      <c r="L2" s="10"/>
      <c r="M2" s="10"/>
      <c r="N2" s="10"/>
      <c r="O2" s="10"/>
      <c r="P2" s="10"/>
      <c r="Q2" s="10"/>
      <c r="R2" s="10"/>
      <c r="S2" s="6"/>
    </row>
    <row r="3" spans="1:22" ht="21" x14ac:dyDescent="0.3">
      <c r="A3" s="6"/>
      <c r="B3" s="12"/>
      <c r="C3" s="165" t="s">
        <v>1846</v>
      </c>
      <c r="D3" s="166"/>
      <c r="E3" s="166"/>
      <c r="F3" s="166"/>
      <c r="G3" s="167"/>
      <c r="H3" s="13"/>
      <c r="I3" s="13"/>
      <c r="J3" s="14"/>
      <c r="K3" s="14"/>
      <c r="L3" s="14"/>
      <c r="M3" s="14"/>
      <c r="N3" s="14"/>
      <c r="O3" s="14"/>
      <c r="P3" s="14"/>
      <c r="Q3" s="14"/>
      <c r="R3" s="14"/>
      <c r="S3" s="6"/>
    </row>
    <row r="4" spans="1:22" ht="21" x14ac:dyDescent="0.3">
      <c r="A4" s="6"/>
      <c r="B4" s="12"/>
      <c r="C4" s="168"/>
      <c r="D4" s="169"/>
      <c r="E4" s="169"/>
      <c r="F4" s="169"/>
      <c r="G4" s="170"/>
      <c r="H4" s="13"/>
      <c r="I4" s="13"/>
      <c r="J4" s="14"/>
      <c r="K4" s="14"/>
      <c r="L4" s="14"/>
      <c r="M4" s="14"/>
      <c r="N4" s="14"/>
      <c r="O4" s="14"/>
      <c r="P4" s="14"/>
      <c r="Q4" s="14"/>
      <c r="R4" s="14"/>
      <c r="S4" s="6"/>
    </row>
    <row r="5" spans="1:22" x14ac:dyDescent="0.3">
      <c r="A5" s="6"/>
      <c r="B5" s="16"/>
      <c r="C5" s="17"/>
      <c r="D5" s="17"/>
      <c r="E5" s="17"/>
      <c r="F5" s="17"/>
      <c r="G5" s="17"/>
      <c r="H5" s="17"/>
      <c r="I5" s="17"/>
      <c r="J5" s="17"/>
      <c r="K5" s="17"/>
      <c r="L5" s="17"/>
      <c r="M5" s="17"/>
      <c r="N5" s="17"/>
      <c r="O5" s="17"/>
      <c r="P5" s="17"/>
      <c r="Q5" s="17"/>
      <c r="R5" s="17"/>
      <c r="S5" s="6"/>
    </row>
    <row r="6" spans="1:22" x14ac:dyDescent="0.3">
      <c r="A6" s="6"/>
      <c r="B6" s="2"/>
      <c r="C6" s="2"/>
      <c r="D6" s="2"/>
      <c r="E6" s="2"/>
      <c r="F6" s="2"/>
      <c r="G6" s="2"/>
      <c r="H6" s="2"/>
      <c r="I6" s="2"/>
      <c r="J6" s="2"/>
      <c r="K6" s="2"/>
      <c r="L6" s="2"/>
      <c r="M6" s="2"/>
      <c r="N6" s="2"/>
      <c r="O6" s="2"/>
      <c r="P6" s="2"/>
      <c r="Q6" s="2"/>
      <c r="R6" s="2"/>
      <c r="S6" s="2"/>
    </row>
    <row r="7" spans="1:22" x14ac:dyDescent="0.3">
      <c r="A7" s="2"/>
      <c r="B7" s="8"/>
      <c r="C7" s="8"/>
      <c r="D7" s="8"/>
      <c r="E7" s="8"/>
      <c r="F7" s="8"/>
      <c r="G7" s="8"/>
      <c r="H7" s="8"/>
      <c r="I7" s="8"/>
      <c r="J7" s="2"/>
      <c r="K7" s="2"/>
      <c r="L7" s="2"/>
      <c r="M7" s="2"/>
      <c r="N7" s="2"/>
      <c r="O7" s="2"/>
      <c r="P7" s="2"/>
      <c r="Q7" s="2"/>
      <c r="R7" s="2"/>
      <c r="S7" s="2"/>
    </row>
    <row r="8" spans="1:22" ht="14.4" customHeight="1" x14ac:dyDescent="0.3">
      <c r="A8" s="2"/>
      <c r="B8" s="190" t="s">
        <v>1366</v>
      </c>
      <c r="C8" s="191"/>
      <c r="D8" s="191"/>
      <c r="E8" s="191"/>
      <c r="F8" s="191"/>
      <c r="G8" s="191"/>
      <c r="H8" s="191"/>
      <c r="I8" s="192"/>
      <c r="J8" s="2"/>
      <c r="K8" s="2"/>
      <c r="L8" s="2"/>
      <c r="M8" s="2"/>
      <c r="N8" s="2"/>
      <c r="O8" s="199" t="s">
        <v>436</v>
      </c>
      <c r="P8" s="200"/>
      <c r="Q8" s="200"/>
      <c r="R8" s="200"/>
      <c r="S8" s="6"/>
      <c r="T8" s="2"/>
      <c r="U8" s="2"/>
      <c r="V8" s="2"/>
    </row>
    <row r="9" spans="1:22" x14ac:dyDescent="0.3">
      <c r="A9" s="2"/>
      <c r="B9" s="193"/>
      <c r="C9" s="194"/>
      <c r="D9" s="194"/>
      <c r="E9" s="194"/>
      <c r="F9" s="194"/>
      <c r="G9" s="194"/>
      <c r="H9" s="194"/>
      <c r="I9" s="195"/>
      <c r="J9" s="2"/>
      <c r="K9" s="2"/>
      <c r="L9" s="2"/>
      <c r="M9" s="2"/>
      <c r="N9" s="2"/>
      <c r="O9" s="28" t="s">
        <v>437</v>
      </c>
      <c r="P9" s="29" t="s">
        <v>449</v>
      </c>
      <c r="Q9" s="29" t="s">
        <v>461</v>
      </c>
      <c r="R9" s="29" t="s">
        <v>472</v>
      </c>
      <c r="S9" s="6"/>
      <c r="T9" s="2"/>
      <c r="U9" s="2"/>
      <c r="V9" s="2"/>
    </row>
    <row r="10" spans="1:22" x14ac:dyDescent="0.3">
      <c r="A10" s="2"/>
      <c r="B10" s="193"/>
      <c r="C10" s="194"/>
      <c r="D10" s="194"/>
      <c r="E10" s="194"/>
      <c r="F10" s="194"/>
      <c r="G10" s="194"/>
      <c r="H10" s="194"/>
      <c r="I10" s="195"/>
      <c r="J10" s="2"/>
      <c r="K10" s="2"/>
      <c r="L10" s="2"/>
      <c r="M10" s="2"/>
      <c r="N10" s="2"/>
      <c r="O10" s="28" t="s">
        <v>438</v>
      </c>
      <c r="P10" s="29" t="s">
        <v>450</v>
      </c>
      <c r="Q10" s="29" t="s">
        <v>462</v>
      </c>
      <c r="R10" s="29" t="s">
        <v>473</v>
      </c>
      <c r="S10" s="6"/>
      <c r="T10" s="2"/>
      <c r="U10" s="2"/>
      <c r="V10" s="2"/>
    </row>
    <row r="11" spans="1:22" x14ac:dyDescent="0.3">
      <c r="A11" s="2"/>
      <c r="B11" s="193"/>
      <c r="C11" s="194"/>
      <c r="D11" s="194"/>
      <c r="E11" s="194"/>
      <c r="F11" s="194"/>
      <c r="G11" s="194"/>
      <c r="H11" s="194"/>
      <c r="I11" s="195"/>
      <c r="J11" s="2"/>
      <c r="K11" s="2"/>
      <c r="L11" s="2"/>
      <c r="M11" s="2"/>
      <c r="N11" s="2"/>
      <c r="O11" s="28" t="s">
        <v>439</v>
      </c>
      <c r="P11" s="29" t="s">
        <v>451</v>
      </c>
      <c r="Q11" s="29" t="s">
        <v>463</v>
      </c>
      <c r="R11" s="29" t="s">
        <v>474</v>
      </c>
      <c r="S11" s="6"/>
      <c r="T11" s="2"/>
      <c r="U11" s="2"/>
      <c r="V11" s="2"/>
    </row>
    <row r="12" spans="1:22" x14ac:dyDescent="0.3">
      <c r="A12" s="2"/>
      <c r="B12" s="193"/>
      <c r="C12" s="194"/>
      <c r="D12" s="194"/>
      <c r="E12" s="194"/>
      <c r="F12" s="194"/>
      <c r="G12" s="194"/>
      <c r="H12" s="194"/>
      <c r="I12" s="195"/>
      <c r="J12" s="2"/>
      <c r="K12" s="2"/>
      <c r="L12" s="2"/>
      <c r="M12" s="2"/>
      <c r="N12" s="2"/>
      <c r="O12" s="28" t="s">
        <v>440</v>
      </c>
      <c r="P12" s="29" t="s">
        <v>452</v>
      </c>
      <c r="Q12" s="29" t="s">
        <v>1106</v>
      </c>
      <c r="R12" s="29" t="s">
        <v>1105</v>
      </c>
      <c r="S12" s="6"/>
      <c r="T12" s="2"/>
      <c r="U12" s="2"/>
      <c r="V12" s="2"/>
    </row>
    <row r="13" spans="1:22" x14ac:dyDescent="0.3">
      <c r="A13" s="2"/>
      <c r="B13" s="193"/>
      <c r="C13" s="194"/>
      <c r="D13" s="194"/>
      <c r="E13" s="194"/>
      <c r="F13" s="194"/>
      <c r="G13" s="194"/>
      <c r="H13" s="194"/>
      <c r="I13" s="195"/>
      <c r="J13" s="2"/>
      <c r="K13" s="2"/>
      <c r="L13" s="2"/>
      <c r="M13" s="2"/>
      <c r="N13" s="2"/>
      <c r="O13" s="28" t="s">
        <v>441</v>
      </c>
      <c r="P13" s="29" t="s">
        <v>453</v>
      </c>
      <c r="Q13" s="29" t="s">
        <v>464</v>
      </c>
      <c r="R13" s="29" t="s">
        <v>475</v>
      </c>
      <c r="S13" s="6"/>
      <c r="T13" s="2"/>
      <c r="U13" s="2"/>
      <c r="V13" s="2"/>
    </row>
    <row r="14" spans="1:22" x14ac:dyDescent="0.3">
      <c r="A14" s="2"/>
      <c r="B14" s="193"/>
      <c r="C14" s="194"/>
      <c r="D14" s="194"/>
      <c r="E14" s="194"/>
      <c r="F14" s="194"/>
      <c r="G14" s="194"/>
      <c r="H14" s="194"/>
      <c r="I14" s="195"/>
      <c r="J14" s="2"/>
      <c r="K14" s="2"/>
      <c r="L14" s="2"/>
      <c r="M14" s="2"/>
      <c r="N14" s="2"/>
      <c r="O14" s="28" t="s">
        <v>442</v>
      </c>
      <c r="P14" s="29" t="s">
        <v>454</v>
      </c>
      <c r="Q14" s="29" t="s">
        <v>465</v>
      </c>
      <c r="R14" s="29" t="s">
        <v>476</v>
      </c>
      <c r="S14" s="6"/>
      <c r="T14" s="2"/>
      <c r="U14" s="2"/>
      <c r="V14" s="2"/>
    </row>
    <row r="15" spans="1:22" x14ac:dyDescent="0.3">
      <c r="A15" s="2"/>
      <c r="B15" s="193"/>
      <c r="C15" s="194"/>
      <c r="D15" s="194"/>
      <c r="E15" s="194"/>
      <c r="F15" s="194"/>
      <c r="G15" s="194"/>
      <c r="H15" s="194"/>
      <c r="I15" s="195"/>
      <c r="J15" s="2"/>
      <c r="K15" s="2"/>
      <c r="L15" s="2"/>
      <c r="M15" s="2"/>
      <c r="N15" s="2"/>
      <c r="O15" s="28" t="s">
        <v>443</v>
      </c>
      <c r="P15" s="29" t="s">
        <v>455</v>
      </c>
      <c r="Q15" s="29" t="s">
        <v>466</v>
      </c>
      <c r="R15" s="29" t="s">
        <v>477</v>
      </c>
      <c r="S15" s="6"/>
      <c r="T15" s="2"/>
      <c r="U15" s="2"/>
      <c r="V15" s="2"/>
    </row>
    <row r="16" spans="1:22" x14ac:dyDescent="0.3">
      <c r="A16" s="2"/>
      <c r="B16" s="193"/>
      <c r="C16" s="194"/>
      <c r="D16" s="194"/>
      <c r="E16" s="194"/>
      <c r="F16" s="194"/>
      <c r="G16" s="194"/>
      <c r="H16" s="194"/>
      <c r="I16" s="195"/>
      <c r="J16" s="2"/>
      <c r="K16" s="2"/>
      <c r="L16" s="2"/>
      <c r="M16" s="2"/>
      <c r="N16" s="2"/>
      <c r="O16" s="28" t="s">
        <v>444</v>
      </c>
      <c r="P16" s="29" t="s">
        <v>456</v>
      </c>
      <c r="Q16" s="29" t="s">
        <v>467</v>
      </c>
      <c r="R16" s="29" t="s">
        <v>478</v>
      </c>
      <c r="S16" s="6"/>
      <c r="T16" s="2"/>
      <c r="U16" s="2"/>
      <c r="V16" s="2"/>
    </row>
    <row r="17" spans="1:22" x14ac:dyDescent="0.3">
      <c r="A17" s="2"/>
      <c r="B17" s="193"/>
      <c r="C17" s="194"/>
      <c r="D17" s="194"/>
      <c r="E17" s="194"/>
      <c r="F17" s="194"/>
      <c r="G17" s="194"/>
      <c r="H17" s="194"/>
      <c r="I17" s="195"/>
      <c r="J17" s="2"/>
      <c r="K17" s="2"/>
      <c r="L17" s="2"/>
      <c r="M17" s="2"/>
      <c r="N17" s="2"/>
      <c r="O17" s="28" t="s">
        <v>445</v>
      </c>
      <c r="P17" s="29" t="s">
        <v>457</v>
      </c>
      <c r="Q17" s="29" t="s">
        <v>468</v>
      </c>
      <c r="R17" s="29"/>
      <c r="S17" s="6"/>
      <c r="T17" s="2"/>
      <c r="U17" s="2"/>
      <c r="V17" s="2"/>
    </row>
    <row r="18" spans="1:22" x14ac:dyDescent="0.3">
      <c r="A18" s="2"/>
      <c r="B18" s="193"/>
      <c r="C18" s="194"/>
      <c r="D18" s="194"/>
      <c r="E18" s="194"/>
      <c r="F18" s="194"/>
      <c r="G18" s="194"/>
      <c r="H18" s="194"/>
      <c r="I18" s="195"/>
      <c r="J18" s="2"/>
      <c r="K18" s="2"/>
      <c r="L18" s="2"/>
      <c r="M18" s="2"/>
      <c r="N18" s="2"/>
      <c r="O18" s="28" t="s">
        <v>446</v>
      </c>
      <c r="P18" s="29" t="s">
        <v>458</v>
      </c>
      <c r="Q18" s="29" t="s">
        <v>469</v>
      </c>
      <c r="R18" s="29"/>
      <c r="S18" s="6"/>
      <c r="T18" s="2"/>
      <c r="U18" s="2"/>
      <c r="V18" s="2"/>
    </row>
    <row r="19" spans="1:22" x14ac:dyDescent="0.3">
      <c r="A19" s="2"/>
      <c r="B19" s="193"/>
      <c r="C19" s="194"/>
      <c r="D19" s="194"/>
      <c r="E19" s="194"/>
      <c r="F19" s="194"/>
      <c r="G19" s="194"/>
      <c r="H19" s="194"/>
      <c r="I19" s="195"/>
      <c r="J19" s="2"/>
      <c r="K19" s="2"/>
      <c r="L19" s="2"/>
      <c r="M19" s="2"/>
      <c r="N19" s="2"/>
      <c r="O19" s="28" t="s">
        <v>447</v>
      </c>
      <c r="P19" s="29" t="s">
        <v>459</v>
      </c>
      <c r="Q19" s="29" t="s">
        <v>470</v>
      </c>
      <c r="R19" s="29"/>
      <c r="S19" s="6"/>
      <c r="T19" s="2"/>
      <c r="U19" s="2"/>
      <c r="V19" s="2"/>
    </row>
    <row r="20" spans="1:22" x14ac:dyDescent="0.3">
      <c r="A20" s="2"/>
      <c r="B20" s="196"/>
      <c r="C20" s="197"/>
      <c r="D20" s="197"/>
      <c r="E20" s="197"/>
      <c r="F20" s="197"/>
      <c r="G20" s="197"/>
      <c r="H20" s="197"/>
      <c r="I20" s="198"/>
      <c r="J20" s="2"/>
      <c r="K20" s="2"/>
      <c r="L20" s="2"/>
      <c r="M20" s="2"/>
      <c r="N20" s="2"/>
      <c r="O20" s="32" t="s">
        <v>448</v>
      </c>
      <c r="P20" s="33" t="s">
        <v>460</v>
      </c>
      <c r="Q20" s="33" t="s">
        <v>471</v>
      </c>
      <c r="R20" s="33"/>
      <c r="S20" s="6"/>
      <c r="T20" s="2"/>
      <c r="U20" s="2"/>
      <c r="V20" s="2"/>
    </row>
    <row r="21" spans="1:22" x14ac:dyDescent="0.3">
      <c r="A21" s="2"/>
      <c r="B21" s="2"/>
      <c r="C21" s="2"/>
      <c r="D21" s="2"/>
      <c r="E21" s="2"/>
      <c r="F21" s="2"/>
      <c r="G21" s="2"/>
      <c r="H21" s="2"/>
      <c r="I21" s="2"/>
      <c r="J21" s="2"/>
      <c r="K21" s="2"/>
      <c r="L21" s="2"/>
      <c r="M21" s="2"/>
      <c r="N21" s="2"/>
      <c r="O21" s="2"/>
      <c r="P21" s="2"/>
      <c r="Q21" s="2"/>
      <c r="R21" s="2"/>
      <c r="S21" s="2"/>
    </row>
    <row r="22" spans="1:22" x14ac:dyDescent="0.3">
      <c r="A22" s="2"/>
      <c r="B22" s="2"/>
      <c r="C22" s="2"/>
      <c r="D22" s="2"/>
      <c r="E22" s="2"/>
      <c r="F22" s="2"/>
      <c r="G22" s="2"/>
      <c r="H22" s="2"/>
      <c r="I22" s="2"/>
      <c r="J22" s="2"/>
      <c r="K22" s="2"/>
      <c r="L22" s="2"/>
      <c r="M22" s="2"/>
      <c r="N22" s="2"/>
      <c r="O22" s="2"/>
      <c r="P22" s="2"/>
      <c r="Q22" s="2"/>
      <c r="R22" s="2"/>
      <c r="S22" s="2"/>
    </row>
    <row r="23" spans="1:22" x14ac:dyDescent="0.3">
      <c r="A23" s="2"/>
      <c r="B23" s="181" t="s">
        <v>479</v>
      </c>
      <c r="C23" s="182"/>
      <c r="D23" s="182"/>
      <c r="E23" s="182"/>
      <c r="F23" s="182"/>
      <c r="G23" s="182"/>
      <c r="H23" s="182"/>
      <c r="I23" s="182"/>
      <c r="J23" s="182"/>
      <c r="K23" s="182"/>
      <c r="L23" s="182"/>
      <c r="M23" s="182"/>
      <c r="N23" s="182"/>
      <c r="O23" s="182"/>
      <c r="P23" s="182"/>
      <c r="Q23" s="182"/>
      <c r="R23" s="36"/>
      <c r="S23" s="40"/>
    </row>
    <row r="24" spans="1:22" x14ac:dyDescent="0.3">
      <c r="A24" s="2"/>
      <c r="B24" s="184"/>
      <c r="C24" s="185"/>
      <c r="D24" s="185"/>
      <c r="E24" s="185"/>
      <c r="F24" s="185"/>
      <c r="G24" s="185"/>
      <c r="H24" s="185"/>
      <c r="I24" s="185"/>
      <c r="J24" s="185"/>
      <c r="K24" s="185"/>
      <c r="L24" s="185"/>
      <c r="M24" s="185"/>
      <c r="N24" s="185"/>
      <c r="O24" s="185"/>
      <c r="P24" s="185"/>
      <c r="Q24" s="185"/>
      <c r="R24" s="36"/>
      <c r="S24" s="40"/>
    </row>
    <row r="25" spans="1:22" x14ac:dyDescent="0.3">
      <c r="A25" s="2"/>
      <c r="B25" s="187"/>
      <c r="C25" s="188"/>
      <c r="D25" s="188"/>
      <c r="E25" s="188"/>
      <c r="F25" s="188"/>
      <c r="G25" s="188"/>
      <c r="H25" s="188"/>
      <c r="I25" s="188"/>
      <c r="J25" s="188"/>
      <c r="K25" s="188"/>
      <c r="L25" s="188"/>
      <c r="M25" s="188"/>
      <c r="N25" s="188"/>
      <c r="O25" s="188"/>
      <c r="P25" s="188"/>
      <c r="Q25" s="188"/>
      <c r="R25" s="36"/>
      <c r="S25" s="40"/>
    </row>
    <row r="26" spans="1:22" x14ac:dyDescent="0.3">
      <c r="A26" s="2"/>
      <c r="B26" s="69"/>
      <c r="C26" s="69"/>
      <c r="D26" s="69"/>
      <c r="E26" s="69"/>
      <c r="F26" s="69"/>
      <c r="G26" s="69"/>
      <c r="H26" s="69"/>
      <c r="I26" s="69"/>
      <c r="J26" s="69"/>
      <c r="K26" s="69"/>
      <c r="L26" s="69"/>
      <c r="M26" s="69"/>
      <c r="N26" s="69"/>
      <c r="O26" s="69"/>
      <c r="P26" s="69"/>
      <c r="Q26" s="69"/>
      <c r="R26" s="67"/>
      <c r="S26" s="67"/>
    </row>
    <row r="27" spans="1:22" x14ac:dyDescent="0.3">
      <c r="A27" s="2"/>
      <c r="B27" s="68"/>
      <c r="C27" s="68"/>
      <c r="D27" s="68"/>
      <c r="E27" s="68"/>
      <c r="F27" s="68"/>
      <c r="G27" s="68"/>
      <c r="H27" s="68"/>
      <c r="I27" s="68"/>
      <c r="J27" s="68"/>
      <c r="K27" s="68"/>
      <c r="L27" s="68"/>
      <c r="M27" s="68"/>
      <c r="N27" s="68"/>
      <c r="O27" s="68"/>
      <c r="P27" s="68"/>
      <c r="Q27" s="68"/>
      <c r="R27" s="40"/>
      <c r="S27" s="40"/>
    </row>
    <row r="28" spans="1:22" x14ac:dyDescent="0.3">
      <c r="A28" s="2"/>
      <c r="B28" s="204" t="s">
        <v>480</v>
      </c>
      <c r="C28" s="204"/>
      <c r="D28" s="204"/>
      <c r="E28" s="204"/>
      <c r="F28" s="204" t="s">
        <v>634</v>
      </c>
      <c r="G28" s="204"/>
      <c r="H28" s="204"/>
      <c r="I28" s="204"/>
      <c r="J28" s="204" t="s">
        <v>787</v>
      </c>
      <c r="K28" s="204"/>
      <c r="L28" s="204"/>
      <c r="M28" s="204"/>
      <c r="N28" s="204" t="s">
        <v>960</v>
      </c>
      <c r="O28" s="204"/>
      <c r="P28" s="204"/>
      <c r="Q28" s="204"/>
      <c r="R28" s="6"/>
      <c r="S28" s="2"/>
    </row>
    <row r="29" spans="1:22" x14ac:dyDescent="0.3">
      <c r="A29" s="2"/>
      <c r="B29" s="204"/>
      <c r="C29" s="204"/>
      <c r="D29" s="204"/>
      <c r="E29" s="204"/>
      <c r="F29" s="204"/>
      <c r="G29" s="204"/>
      <c r="H29" s="204"/>
      <c r="I29" s="204"/>
      <c r="J29" s="204"/>
      <c r="K29" s="204"/>
      <c r="L29" s="204"/>
      <c r="M29" s="204"/>
      <c r="N29" s="204"/>
      <c r="O29" s="204"/>
      <c r="P29" s="204"/>
      <c r="Q29" s="204"/>
      <c r="R29" s="6"/>
      <c r="S29" s="2"/>
    </row>
    <row r="30" spans="1:22" x14ac:dyDescent="0.3">
      <c r="A30" s="2"/>
      <c r="B30" s="212" t="s">
        <v>481</v>
      </c>
      <c r="C30" s="212"/>
      <c r="D30" s="213" t="s">
        <v>487</v>
      </c>
      <c r="E30" s="213"/>
      <c r="F30" s="211" t="s">
        <v>737</v>
      </c>
      <c r="G30" s="211"/>
      <c r="H30" s="212" t="s">
        <v>641</v>
      </c>
      <c r="I30" s="212"/>
      <c r="J30" s="230" t="s">
        <v>788</v>
      </c>
      <c r="K30" s="230"/>
      <c r="L30" s="246" t="s">
        <v>796</v>
      </c>
      <c r="M30" s="246"/>
      <c r="N30" s="245" t="s">
        <v>961</v>
      </c>
      <c r="O30" s="245"/>
      <c r="P30" s="243" t="s">
        <v>968</v>
      </c>
      <c r="Q30" s="243"/>
      <c r="R30" s="6"/>
      <c r="S30" s="2"/>
    </row>
    <row r="31" spans="1:22" x14ac:dyDescent="0.3">
      <c r="A31" s="2"/>
      <c r="B31" s="206" t="s">
        <v>482</v>
      </c>
      <c r="C31" s="210"/>
      <c r="D31" s="206" t="s">
        <v>488</v>
      </c>
      <c r="E31" s="210"/>
      <c r="F31" s="206" t="s">
        <v>566</v>
      </c>
      <c r="G31" s="207"/>
      <c r="H31" s="206" t="s">
        <v>482</v>
      </c>
      <c r="I31" s="210"/>
      <c r="J31" s="206" t="s">
        <v>553</v>
      </c>
      <c r="K31" s="207"/>
      <c r="L31" s="206" t="s">
        <v>566</v>
      </c>
      <c r="M31" s="207"/>
      <c r="N31" s="206" t="s">
        <v>566</v>
      </c>
      <c r="O31" s="207"/>
      <c r="P31" s="206" t="s">
        <v>553</v>
      </c>
      <c r="Q31" s="207"/>
      <c r="R31" s="6"/>
      <c r="S31" s="2"/>
    </row>
    <row r="32" spans="1:22" x14ac:dyDescent="0.3">
      <c r="A32" s="2"/>
      <c r="B32" s="81" t="s">
        <v>483</v>
      </c>
      <c r="C32" s="31" t="s">
        <v>484</v>
      </c>
      <c r="D32" s="81" t="s">
        <v>489</v>
      </c>
      <c r="E32" s="31" t="s">
        <v>490</v>
      </c>
      <c r="F32" s="79" t="s">
        <v>635</v>
      </c>
      <c r="G32" s="80" t="s">
        <v>636</v>
      </c>
      <c r="H32" s="81" t="s">
        <v>1113</v>
      </c>
      <c r="I32" s="31" t="s">
        <v>642</v>
      </c>
      <c r="J32" s="79" t="s">
        <v>789</v>
      </c>
      <c r="K32" s="80" t="s">
        <v>790</v>
      </c>
      <c r="L32" s="79" t="s">
        <v>797</v>
      </c>
      <c r="M32" s="80" t="s">
        <v>798</v>
      </c>
      <c r="N32" s="79" t="s">
        <v>965</v>
      </c>
      <c r="O32" s="80" t="s">
        <v>962</v>
      </c>
      <c r="P32" s="79" t="s">
        <v>965</v>
      </c>
      <c r="Q32" s="80" t="s">
        <v>969</v>
      </c>
      <c r="R32" s="6"/>
      <c r="S32" s="2"/>
    </row>
    <row r="33" spans="1:19" x14ac:dyDescent="0.3">
      <c r="A33" s="2"/>
      <c r="B33" s="82" t="s">
        <v>485</v>
      </c>
      <c r="C33" s="35" t="s">
        <v>486</v>
      </c>
      <c r="D33" s="82" t="s">
        <v>491</v>
      </c>
      <c r="E33" s="79"/>
      <c r="F33" s="81" t="s">
        <v>637</v>
      </c>
      <c r="G33" s="31" t="s">
        <v>638</v>
      </c>
      <c r="H33" s="82" t="s">
        <v>643</v>
      </c>
      <c r="I33" s="35" t="s">
        <v>644</v>
      </c>
      <c r="J33" s="81" t="s">
        <v>791</v>
      </c>
      <c r="K33" s="31" t="s">
        <v>792</v>
      </c>
      <c r="L33" s="81" t="s">
        <v>799</v>
      </c>
      <c r="M33" s="31" t="s">
        <v>800</v>
      </c>
      <c r="N33" s="81" t="s">
        <v>963</v>
      </c>
      <c r="O33" s="31" t="s">
        <v>964</v>
      </c>
      <c r="P33" s="81" t="s">
        <v>970</v>
      </c>
      <c r="Q33" s="31" t="s">
        <v>971</v>
      </c>
      <c r="R33" s="6"/>
      <c r="S33" s="2"/>
    </row>
    <row r="34" spans="1:19" x14ac:dyDescent="0.3">
      <c r="A34" s="2"/>
      <c r="B34" s="204" t="s">
        <v>492</v>
      </c>
      <c r="C34" s="204"/>
      <c r="D34" s="204"/>
      <c r="E34" s="204"/>
      <c r="F34" s="82" t="s">
        <v>639</v>
      </c>
      <c r="G34" s="35" t="s">
        <v>640</v>
      </c>
      <c r="H34" s="30"/>
      <c r="I34" s="30"/>
      <c r="J34" s="81" t="s">
        <v>793</v>
      </c>
      <c r="K34" s="35" t="s">
        <v>794</v>
      </c>
      <c r="L34" s="82" t="s">
        <v>801</v>
      </c>
      <c r="M34" s="35" t="s">
        <v>802</v>
      </c>
      <c r="N34" s="82" t="s">
        <v>966</v>
      </c>
      <c r="O34" s="35" t="s">
        <v>967</v>
      </c>
      <c r="P34" s="81" t="s">
        <v>972</v>
      </c>
      <c r="Q34" s="35" t="s">
        <v>973</v>
      </c>
      <c r="R34" s="6"/>
      <c r="S34" s="2"/>
    </row>
    <row r="35" spans="1:19" x14ac:dyDescent="0.3">
      <c r="A35" s="2"/>
      <c r="B35" s="204"/>
      <c r="C35" s="204"/>
      <c r="D35" s="204"/>
      <c r="E35" s="204"/>
      <c r="F35" s="204" t="s">
        <v>645</v>
      </c>
      <c r="G35" s="204"/>
      <c r="H35" s="204"/>
      <c r="I35" s="204"/>
      <c r="J35" s="83" t="s">
        <v>795</v>
      </c>
      <c r="K35" s="30"/>
      <c r="L35" s="30"/>
      <c r="M35" s="30"/>
      <c r="N35" s="30"/>
      <c r="O35" s="30"/>
      <c r="P35" s="83" t="s">
        <v>974</v>
      </c>
      <c r="Q35" s="31"/>
      <c r="R35" s="6"/>
      <c r="S35" s="2"/>
    </row>
    <row r="36" spans="1:19" x14ac:dyDescent="0.3">
      <c r="A36" s="2"/>
      <c r="B36" s="205" t="s">
        <v>493</v>
      </c>
      <c r="C36" s="205"/>
      <c r="D36" s="208" t="s">
        <v>500</v>
      </c>
      <c r="E36" s="209"/>
      <c r="F36" s="204"/>
      <c r="G36" s="204"/>
      <c r="H36" s="204"/>
      <c r="I36" s="204"/>
      <c r="J36" s="204" t="s">
        <v>803</v>
      </c>
      <c r="K36" s="204"/>
      <c r="L36" s="204"/>
      <c r="M36" s="204"/>
      <c r="N36" s="204" t="s">
        <v>975</v>
      </c>
      <c r="O36" s="204"/>
      <c r="P36" s="204"/>
      <c r="Q36" s="204"/>
      <c r="R36" s="6"/>
      <c r="S36" s="2"/>
    </row>
    <row r="37" spans="1:19" x14ac:dyDescent="0.3">
      <c r="A37" s="2"/>
      <c r="B37" s="206" t="s">
        <v>494</v>
      </c>
      <c r="C37" s="207"/>
      <c r="D37" s="206" t="s">
        <v>494</v>
      </c>
      <c r="E37" s="210"/>
      <c r="F37" s="230" t="s">
        <v>646</v>
      </c>
      <c r="G37" s="230"/>
      <c r="H37" s="231" t="s">
        <v>651</v>
      </c>
      <c r="I37" s="232"/>
      <c r="J37" s="204"/>
      <c r="K37" s="204"/>
      <c r="L37" s="204"/>
      <c r="M37" s="204"/>
      <c r="N37" s="204"/>
      <c r="O37" s="204"/>
      <c r="P37" s="204"/>
      <c r="Q37" s="204"/>
      <c r="R37" s="6"/>
      <c r="S37" s="2"/>
    </row>
    <row r="38" spans="1:19" x14ac:dyDescent="0.3">
      <c r="A38" s="2"/>
      <c r="B38" s="79" t="s">
        <v>495</v>
      </c>
      <c r="C38" s="80" t="s">
        <v>496</v>
      </c>
      <c r="D38" s="79" t="s">
        <v>501</v>
      </c>
      <c r="E38" s="80" t="s">
        <v>502</v>
      </c>
      <c r="F38" s="206" t="s">
        <v>482</v>
      </c>
      <c r="G38" s="210"/>
      <c r="H38" s="206" t="s">
        <v>494</v>
      </c>
      <c r="I38" s="210"/>
      <c r="J38" s="233" t="s">
        <v>804</v>
      </c>
      <c r="K38" s="234"/>
      <c r="L38" s="227" t="s">
        <v>810</v>
      </c>
      <c r="M38" s="227"/>
      <c r="N38" s="257" t="s">
        <v>976</v>
      </c>
      <c r="O38" s="258"/>
      <c r="P38" s="259" t="s">
        <v>982</v>
      </c>
      <c r="Q38" s="259"/>
      <c r="R38" s="6"/>
      <c r="S38" s="2"/>
    </row>
    <row r="39" spans="1:19" x14ac:dyDescent="0.3">
      <c r="A39" s="2"/>
      <c r="B39" s="81" t="s">
        <v>497</v>
      </c>
      <c r="C39" s="35" t="s">
        <v>498</v>
      </c>
      <c r="D39" s="81" t="s">
        <v>503</v>
      </c>
      <c r="E39" s="35" t="s">
        <v>504</v>
      </c>
      <c r="F39" s="81" t="s">
        <v>647</v>
      </c>
      <c r="G39" s="31" t="s">
        <v>648</v>
      </c>
      <c r="H39" s="79" t="s">
        <v>652</v>
      </c>
      <c r="I39" s="80" t="s">
        <v>653</v>
      </c>
      <c r="J39" s="206" t="s">
        <v>494</v>
      </c>
      <c r="K39" s="210"/>
      <c r="L39" s="206" t="s">
        <v>482</v>
      </c>
      <c r="M39" s="210"/>
      <c r="N39" s="206" t="s">
        <v>494</v>
      </c>
      <c r="O39" s="210"/>
      <c r="P39" s="206" t="s">
        <v>553</v>
      </c>
      <c r="Q39" s="207"/>
      <c r="R39" s="6"/>
      <c r="S39" s="2"/>
    </row>
    <row r="40" spans="1:19" x14ac:dyDescent="0.3">
      <c r="A40" s="2"/>
      <c r="B40" s="83" t="s">
        <v>499</v>
      </c>
      <c r="C40" s="30"/>
      <c r="D40" s="83" t="s">
        <v>505</v>
      </c>
      <c r="E40" s="30"/>
      <c r="F40" s="82" t="s">
        <v>649</v>
      </c>
      <c r="G40" s="35" t="s">
        <v>650</v>
      </c>
      <c r="H40" s="81" t="s">
        <v>654</v>
      </c>
      <c r="I40" s="35" t="s">
        <v>655</v>
      </c>
      <c r="J40" s="79" t="s">
        <v>805</v>
      </c>
      <c r="K40" s="80" t="s">
        <v>806</v>
      </c>
      <c r="L40" s="81" t="s">
        <v>811</v>
      </c>
      <c r="M40" s="31" t="s">
        <v>812</v>
      </c>
      <c r="N40" s="79" t="s">
        <v>977</v>
      </c>
      <c r="O40" s="80" t="s">
        <v>978</v>
      </c>
      <c r="P40" s="79" t="s">
        <v>983</v>
      </c>
      <c r="Q40" s="80" t="s">
        <v>984</v>
      </c>
      <c r="R40" s="6"/>
      <c r="S40" s="2"/>
    </row>
    <row r="41" spans="1:19" x14ac:dyDescent="0.3">
      <c r="A41" s="2"/>
      <c r="B41" s="204" t="s">
        <v>506</v>
      </c>
      <c r="C41" s="204"/>
      <c r="D41" s="204"/>
      <c r="E41" s="204"/>
      <c r="F41" s="30"/>
      <c r="G41" s="30"/>
      <c r="H41" s="83" t="s">
        <v>656</v>
      </c>
      <c r="I41" s="30"/>
      <c r="J41" s="81" t="s">
        <v>807</v>
      </c>
      <c r="K41" s="35" t="s">
        <v>808</v>
      </c>
      <c r="L41" s="82" t="s">
        <v>813</v>
      </c>
      <c r="M41" s="35" t="s">
        <v>1115</v>
      </c>
      <c r="N41" s="81" t="s">
        <v>979</v>
      </c>
      <c r="O41" s="35" t="s">
        <v>980</v>
      </c>
      <c r="P41" s="81" t="s">
        <v>985</v>
      </c>
      <c r="Q41" s="31" t="s">
        <v>986</v>
      </c>
      <c r="R41" s="6"/>
      <c r="S41" s="2"/>
    </row>
    <row r="42" spans="1:19" x14ac:dyDescent="0.3">
      <c r="A42" s="2"/>
      <c r="B42" s="204"/>
      <c r="C42" s="204"/>
      <c r="D42" s="204"/>
      <c r="E42" s="204"/>
      <c r="F42" s="204" t="s">
        <v>657</v>
      </c>
      <c r="G42" s="204"/>
      <c r="H42" s="204"/>
      <c r="I42" s="204"/>
      <c r="J42" s="83" t="s">
        <v>809</v>
      </c>
      <c r="K42" s="30"/>
      <c r="L42" s="30"/>
      <c r="M42" s="30"/>
      <c r="N42" s="83" t="s">
        <v>981</v>
      </c>
      <c r="O42" s="30"/>
      <c r="P42" s="81" t="s">
        <v>987</v>
      </c>
      <c r="Q42" s="35" t="s">
        <v>988</v>
      </c>
      <c r="R42" s="6"/>
      <c r="S42" s="2"/>
    </row>
    <row r="43" spans="1:19" x14ac:dyDescent="0.3">
      <c r="A43" s="2"/>
      <c r="B43" s="218" t="s">
        <v>507</v>
      </c>
      <c r="C43" s="218"/>
      <c r="D43" s="219" t="s">
        <v>513</v>
      </c>
      <c r="E43" s="220"/>
      <c r="F43" s="204"/>
      <c r="G43" s="204"/>
      <c r="H43" s="204"/>
      <c r="I43" s="204"/>
      <c r="J43" s="216" t="s">
        <v>814</v>
      </c>
      <c r="K43" s="217"/>
      <c r="L43" s="30"/>
      <c r="M43" s="30"/>
      <c r="N43" s="259" t="s">
        <v>1151</v>
      </c>
      <c r="O43" s="259"/>
      <c r="P43" s="83" t="s">
        <v>989</v>
      </c>
      <c r="Q43" s="31"/>
      <c r="R43" s="6"/>
      <c r="S43" s="2"/>
    </row>
    <row r="44" spans="1:19" x14ac:dyDescent="0.3">
      <c r="A44" s="2"/>
      <c r="B44" s="206" t="s">
        <v>494</v>
      </c>
      <c r="C44" s="207"/>
      <c r="D44" s="206" t="s">
        <v>482</v>
      </c>
      <c r="E44" s="210"/>
      <c r="F44" s="227" t="s">
        <v>658</v>
      </c>
      <c r="G44" s="227"/>
      <c r="H44" s="240" t="s">
        <v>663</v>
      </c>
      <c r="I44" s="240"/>
      <c r="J44" s="206" t="s">
        <v>494</v>
      </c>
      <c r="K44" s="210"/>
      <c r="L44" s="30"/>
      <c r="M44" s="30"/>
      <c r="N44" s="206" t="s">
        <v>482</v>
      </c>
      <c r="O44" s="210"/>
      <c r="P44" s="30"/>
      <c r="Q44" s="31"/>
      <c r="R44" s="6"/>
      <c r="S44" s="2"/>
    </row>
    <row r="45" spans="1:19" x14ac:dyDescent="0.3">
      <c r="A45" s="2"/>
      <c r="B45" s="79" t="s">
        <v>508</v>
      </c>
      <c r="C45" s="80" t="s">
        <v>509</v>
      </c>
      <c r="D45" s="81" t="s">
        <v>514</v>
      </c>
      <c r="E45" s="31" t="s">
        <v>518</v>
      </c>
      <c r="F45" s="206" t="s">
        <v>482</v>
      </c>
      <c r="G45" s="210"/>
      <c r="H45" s="206" t="s">
        <v>482</v>
      </c>
      <c r="I45" s="210"/>
      <c r="J45" s="79" t="s">
        <v>819</v>
      </c>
      <c r="K45" s="80" t="s">
        <v>820</v>
      </c>
      <c r="L45" s="30"/>
      <c r="M45" s="30"/>
      <c r="N45" s="81" t="s">
        <v>983</v>
      </c>
      <c r="O45" s="31" t="s">
        <v>986</v>
      </c>
      <c r="P45" s="30"/>
      <c r="Q45" s="31"/>
      <c r="R45" s="6"/>
      <c r="S45" s="2"/>
    </row>
    <row r="46" spans="1:19" x14ac:dyDescent="0.3">
      <c r="A46" s="2"/>
      <c r="B46" s="81" t="s">
        <v>510</v>
      </c>
      <c r="C46" s="35" t="s">
        <v>511</v>
      </c>
      <c r="D46" s="82" t="s">
        <v>515</v>
      </c>
      <c r="E46" s="35" t="s">
        <v>516</v>
      </c>
      <c r="F46" s="81" t="s">
        <v>659</v>
      </c>
      <c r="G46" s="31" t="s">
        <v>660</v>
      </c>
      <c r="H46" s="81" t="s">
        <v>664</v>
      </c>
      <c r="I46" s="31" t="s">
        <v>665</v>
      </c>
      <c r="J46" s="81" t="s">
        <v>821</v>
      </c>
      <c r="K46" s="35" t="s">
        <v>822</v>
      </c>
      <c r="L46" s="30"/>
      <c r="M46" s="30"/>
      <c r="N46" s="82" t="s">
        <v>987</v>
      </c>
      <c r="O46" s="35" t="s">
        <v>988</v>
      </c>
      <c r="P46" s="30"/>
      <c r="Q46" s="31"/>
      <c r="R46" s="6"/>
      <c r="S46" s="2"/>
    </row>
    <row r="47" spans="1:19" x14ac:dyDescent="0.3">
      <c r="A47" s="2"/>
      <c r="B47" s="83" t="s">
        <v>512</v>
      </c>
      <c r="C47" s="30"/>
      <c r="D47" s="30"/>
      <c r="E47" s="30"/>
      <c r="F47" s="82" t="s">
        <v>661</v>
      </c>
      <c r="G47" s="35" t="s">
        <v>662</v>
      </c>
      <c r="H47" s="82" t="s">
        <v>666</v>
      </c>
      <c r="I47" s="35" t="s">
        <v>667</v>
      </c>
      <c r="J47" s="83" t="s">
        <v>823</v>
      </c>
      <c r="K47" s="30"/>
      <c r="L47" s="30"/>
      <c r="M47" s="30"/>
      <c r="N47" s="204" t="s">
        <v>990</v>
      </c>
      <c r="O47" s="204"/>
      <c r="P47" s="204"/>
      <c r="Q47" s="204"/>
      <c r="R47" s="6"/>
      <c r="S47" s="2"/>
    </row>
    <row r="48" spans="1:19" x14ac:dyDescent="0.3">
      <c r="A48" s="2"/>
      <c r="B48" s="219" t="s">
        <v>517</v>
      </c>
      <c r="C48" s="220"/>
      <c r="D48" s="30"/>
      <c r="E48" s="30"/>
      <c r="F48" s="204" t="s">
        <v>668</v>
      </c>
      <c r="G48" s="204"/>
      <c r="H48" s="204"/>
      <c r="I48" s="204"/>
      <c r="J48" s="204" t="s">
        <v>824</v>
      </c>
      <c r="K48" s="204"/>
      <c r="L48" s="204"/>
      <c r="M48" s="204"/>
      <c r="N48" s="204"/>
      <c r="O48" s="204"/>
      <c r="P48" s="204"/>
      <c r="Q48" s="204"/>
      <c r="R48" s="6"/>
      <c r="S48" s="2"/>
    </row>
    <row r="49" spans="1:19" x14ac:dyDescent="0.3">
      <c r="A49" s="2"/>
      <c r="B49" s="206" t="s">
        <v>482</v>
      </c>
      <c r="C49" s="210"/>
      <c r="D49" s="30"/>
      <c r="E49" s="30"/>
      <c r="F49" s="204"/>
      <c r="G49" s="204"/>
      <c r="H49" s="204"/>
      <c r="I49" s="204"/>
      <c r="J49" s="204"/>
      <c r="K49" s="204"/>
      <c r="L49" s="204"/>
      <c r="M49" s="204"/>
      <c r="N49" s="211" t="s">
        <v>991</v>
      </c>
      <c r="O49" s="211"/>
      <c r="P49" s="211" t="s">
        <v>1152</v>
      </c>
      <c r="Q49" s="211"/>
      <c r="R49" s="6"/>
      <c r="S49" s="2"/>
    </row>
    <row r="50" spans="1:19" x14ac:dyDescent="0.3">
      <c r="A50" s="2"/>
      <c r="B50" s="81" t="s">
        <v>519</v>
      </c>
      <c r="C50" s="31" t="s">
        <v>520</v>
      </c>
      <c r="D50" s="30"/>
      <c r="E50" s="30"/>
      <c r="F50" s="223" t="s">
        <v>669</v>
      </c>
      <c r="G50" s="223"/>
      <c r="H50" s="222" t="s">
        <v>677</v>
      </c>
      <c r="I50" s="222"/>
      <c r="J50" s="230" t="s">
        <v>825</v>
      </c>
      <c r="K50" s="230"/>
      <c r="L50" s="244" t="s">
        <v>828</v>
      </c>
      <c r="M50" s="244"/>
      <c r="N50" s="256" t="s">
        <v>992</v>
      </c>
      <c r="O50" s="207"/>
      <c r="P50" s="206" t="s">
        <v>482</v>
      </c>
      <c r="Q50" s="210"/>
      <c r="R50" s="6"/>
      <c r="S50" s="2"/>
    </row>
    <row r="51" spans="1:19" x14ac:dyDescent="0.3">
      <c r="A51" s="2"/>
      <c r="B51" s="82" t="s">
        <v>521</v>
      </c>
      <c r="C51" s="35" t="s">
        <v>522</v>
      </c>
      <c r="D51" s="30"/>
      <c r="E51" s="30"/>
      <c r="F51" s="206" t="s">
        <v>553</v>
      </c>
      <c r="G51" s="207"/>
      <c r="H51" s="206" t="s">
        <v>488</v>
      </c>
      <c r="I51" s="210"/>
      <c r="J51" s="206" t="s">
        <v>488</v>
      </c>
      <c r="K51" s="210"/>
      <c r="L51" s="206" t="s">
        <v>488</v>
      </c>
      <c r="M51" s="251"/>
      <c r="N51" s="79" t="s">
        <v>993</v>
      </c>
      <c r="O51" s="80" t="s">
        <v>994</v>
      </c>
      <c r="P51" s="81" t="s">
        <v>993</v>
      </c>
      <c r="Q51" s="31" t="s">
        <v>994</v>
      </c>
      <c r="R51" s="6"/>
      <c r="S51" s="2"/>
    </row>
    <row r="52" spans="1:19" x14ac:dyDescent="0.3">
      <c r="A52" s="2"/>
      <c r="B52" s="204" t="s">
        <v>523</v>
      </c>
      <c r="C52" s="204"/>
      <c r="D52" s="204"/>
      <c r="E52" s="204"/>
      <c r="F52" s="79" t="s">
        <v>670</v>
      </c>
      <c r="G52" s="80" t="s">
        <v>671</v>
      </c>
      <c r="H52" s="81" t="s">
        <v>678</v>
      </c>
      <c r="I52" s="31" t="s">
        <v>679</v>
      </c>
      <c r="J52" s="81" t="s">
        <v>826</v>
      </c>
      <c r="K52" s="31" t="s">
        <v>654</v>
      </c>
      <c r="L52" s="81" t="s">
        <v>829</v>
      </c>
      <c r="M52" s="30" t="s">
        <v>830</v>
      </c>
      <c r="N52" s="81" t="s">
        <v>995</v>
      </c>
      <c r="O52" s="31" t="s">
        <v>996</v>
      </c>
      <c r="P52" s="82" t="s">
        <v>1001</v>
      </c>
      <c r="Q52" s="35" t="s">
        <v>1002</v>
      </c>
      <c r="R52" s="6"/>
      <c r="S52" s="2"/>
    </row>
    <row r="53" spans="1:19" x14ac:dyDescent="0.3">
      <c r="A53" s="2"/>
      <c r="B53" s="204"/>
      <c r="C53" s="204"/>
      <c r="D53" s="204"/>
      <c r="E53" s="204"/>
      <c r="F53" s="81" t="s">
        <v>672</v>
      </c>
      <c r="G53" s="31" t="s">
        <v>673</v>
      </c>
      <c r="H53" s="82" t="s">
        <v>680</v>
      </c>
      <c r="I53" s="79"/>
      <c r="J53" s="82" t="s">
        <v>827</v>
      </c>
      <c r="K53" s="79"/>
      <c r="L53" s="82" t="s">
        <v>831</v>
      </c>
      <c r="M53" s="79"/>
      <c r="N53" s="81" t="s">
        <v>997</v>
      </c>
      <c r="O53" s="31" t="s">
        <v>998</v>
      </c>
      <c r="P53" s="30"/>
      <c r="Q53" s="31"/>
      <c r="R53" s="6"/>
      <c r="S53" s="2"/>
    </row>
    <row r="54" spans="1:19" x14ac:dyDescent="0.3">
      <c r="A54" s="2"/>
      <c r="B54" s="214" t="s">
        <v>524</v>
      </c>
      <c r="C54" s="215"/>
      <c r="D54" s="216" t="s">
        <v>529</v>
      </c>
      <c r="E54" s="217"/>
      <c r="F54" s="81" t="s">
        <v>674</v>
      </c>
      <c r="G54" s="35" t="s">
        <v>675</v>
      </c>
      <c r="H54" s="30"/>
      <c r="I54" s="30"/>
      <c r="J54" s="222" t="s">
        <v>832</v>
      </c>
      <c r="K54" s="222"/>
      <c r="L54" s="242" t="s">
        <v>839</v>
      </c>
      <c r="M54" s="252"/>
      <c r="N54" s="82" t="s">
        <v>999</v>
      </c>
      <c r="O54" s="35" t="s">
        <v>1000</v>
      </c>
      <c r="P54" s="30"/>
      <c r="Q54" s="31"/>
      <c r="R54" s="6"/>
      <c r="S54" s="2"/>
    </row>
    <row r="55" spans="1:19" x14ac:dyDescent="0.3">
      <c r="A55" s="2"/>
      <c r="B55" s="206" t="s">
        <v>482</v>
      </c>
      <c r="C55" s="210"/>
      <c r="D55" s="206" t="s">
        <v>482</v>
      </c>
      <c r="E55" s="210"/>
      <c r="F55" s="83" t="s">
        <v>676</v>
      </c>
      <c r="G55" s="30"/>
      <c r="H55" s="30"/>
      <c r="I55" s="30"/>
      <c r="J55" s="206" t="s">
        <v>566</v>
      </c>
      <c r="K55" s="207"/>
      <c r="L55" s="206" t="s">
        <v>488</v>
      </c>
      <c r="M55" s="210"/>
      <c r="N55" s="204" t="s">
        <v>1003</v>
      </c>
      <c r="O55" s="204"/>
      <c r="P55" s="204"/>
      <c r="Q55" s="204"/>
      <c r="R55" s="6"/>
      <c r="S55" s="2"/>
    </row>
    <row r="56" spans="1:19" x14ac:dyDescent="0.3">
      <c r="A56" s="2"/>
      <c r="B56" s="81" t="s">
        <v>525</v>
      </c>
      <c r="C56" s="31" t="s">
        <v>526</v>
      </c>
      <c r="D56" s="81" t="s">
        <v>530</v>
      </c>
      <c r="E56" s="31" t="s">
        <v>531</v>
      </c>
      <c r="F56" s="204" t="s">
        <v>681</v>
      </c>
      <c r="G56" s="204"/>
      <c r="H56" s="204"/>
      <c r="I56" s="204"/>
      <c r="J56" s="79" t="s">
        <v>834</v>
      </c>
      <c r="K56" s="80" t="s">
        <v>833</v>
      </c>
      <c r="L56" s="81" t="s">
        <v>834</v>
      </c>
      <c r="M56" s="31" t="s">
        <v>833</v>
      </c>
      <c r="N56" s="204"/>
      <c r="O56" s="204"/>
      <c r="P56" s="204"/>
      <c r="Q56" s="204"/>
      <c r="R56" s="6"/>
      <c r="S56" s="2"/>
    </row>
    <row r="57" spans="1:19" x14ac:dyDescent="0.3">
      <c r="A57" s="2"/>
      <c r="B57" s="82" t="s">
        <v>527</v>
      </c>
      <c r="C57" s="35" t="s">
        <v>528</v>
      </c>
      <c r="D57" s="82" t="s">
        <v>532</v>
      </c>
      <c r="E57" s="35" t="s">
        <v>533</v>
      </c>
      <c r="F57" s="204"/>
      <c r="G57" s="204"/>
      <c r="H57" s="204"/>
      <c r="I57" s="204"/>
      <c r="J57" s="81" t="s">
        <v>835</v>
      </c>
      <c r="K57" s="31" t="s">
        <v>836</v>
      </c>
      <c r="L57" s="82" t="s">
        <v>838</v>
      </c>
      <c r="M57" s="79"/>
      <c r="N57" s="274" t="s">
        <v>1004</v>
      </c>
      <c r="O57" s="275"/>
      <c r="P57" s="259" t="s">
        <v>1010</v>
      </c>
      <c r="Q57" s="259"/>
      <c r="R57" s="6"/>
      <c r="S57" s="2"/>
    </row>
    <row r="58" spans="1:19" x14ac:dyDescent="0.3">
      <c r="A58" s="2"/>
      <c r="B58" s="211" t="s">
        <v>534</v>
      </c>
      <c r="C58" s="211"/>
      <c r="D58" s="30"/>
      <c r="E58" s="30"/>
      <c r="F58" s="236" t="s">
        <v>682</v>
      </c>
      <c r="G58" s="237"/>
      <c r="H58" s="227" t="s">
        <v>687</v>
      </c>
      <c r="I58" s="227"/>
      <c r="J58" s="82" t="s">
        <v>837</v>
      </c>
      <c r="K58" s="35" t="s">
        <v>838</v>
      </c>
      <c r="L58" s="30"/>
      <c r="M58" s="30"/>
      <c r="N58" s="206" t="s">
        <v>494</v>
      </c>
      <c r="O58" s="210"/>
      <c r="P58" s="256" t="s">
        <v>992</v>
      </c>
      <c r="Q58" s="207"/>
      <c r="R58" s="6"/>
      <c r="S58" s="2"/>
    </row>
    <row r="59" spans="1:19" x14ac:dyDescent="0.3">
      <c r="A59" s="2"/>
      <c r="B59" s="206" t="s">
        <v>494</v>
      </c>
      <c r="C59" s="207"/>
      <c r="D59" s="30"/>
      <c r="E59" s="30"/>
      <c r="F59" s="206" t="s">
        <v>494</v>
      </c>
      <c r="G59" s="210"/>
      <c r="H59" s="206" t="s">
        <v>488</v>
      </c>
      <c r="I59" s="210"/>
      <c r="J59" s="204" t="s">
        <v>840</v>
      </c>
      <c r="K59" s="204"/>
      <c r="L59" s="204"/>
      <c r="M59" s="204"/>
      <c r="N59" s="79" t="s">
        <v>1005</v>
      </c>
      <c r="O59" s="80" t="s">
        <v>1006</v>
      </c>
      <c r="P59" s="79" t="s">
        <v>1011</v>
      </c>
      <c r="Q59" s="80" t="s">
        <v>1012</v>
      </c>
      <c r="R59" s="6"/>
      <c r="S59" s="2"/>
    </row>
    <row r="60" spans="1:19" x14ac:dyDescent="0.3">
      <c r="A60" s="2"/>
      <c r="B60" s="79" t="s">
        <v>525</v>
      </c>
      <c r="C60" s="80" t="s">
        <v>535</v>
      </c>
      <c r="D60" s="30"/>
      <c r="E60" s="30"/>
      <c r="F60" s="79" t="s">
        <v>683</v>
      </c>
      <c r="G60" s="80" t="s">
        <v>684</v>
      </c>
      <c r="H60" s="81" t="s">
        <v>688</v>
      </c>
      <c r="I60" s="31" t="s">
        <v>689</v>
      </c>
      <c r="J60" s="204"/>
      <c r="K60" s="204"/>
      <c r="L60" s="204"/>
      <c r="M60" s="204"/>
      <c r="N60" s="81" t="s">
        <v>1007</v>
      </c>
      <c r="O60" s="35" t="s">
        <v>1008</v>
      </c>
      <c r="P60" s="81" t="s">
        <v>1013</v>
      </c>
      <c r="Q60" s="31" t="s">
        <v>1014</v>
      </c>
      <c r="R60" s="6"/>
      <c r="S60" s="2"/>
    </row>
    <row r="61" spans="1:19" x14ac:dyDescent="0.3">
      <c r="A61" s="2"/>
      <c r="B61" s="81" t="s">
        <v>536</v>
      </c>
      <c r="C61" s="35" t="s">
        <v>537</v>
      </c>
      <c r="D61" s="30"/>
      <c r="E61" s="30"/>
      <c r="F61" s="81" t="s">
        <v>685</v>
      </c>
      <c r="G61" s="35" t="s">
        <v>674</v>
      </c>
      <c r="H61" s="82" t="s">
        <v>690</v>
      </c>
      <c r="I61" s="79"/>
      <c r="J61" s="255" t="s">
        <v>1118</v>
      </c>
      <c r="K61" s="255"/>
      <c r="L61" s="255" t="s">
        <v>851</v>
      </c>
      <c r="M61" s="255"/>
      <c r="N61" s="83" t="s">
        <v>1009</v>
      </c>
      <c r="O61" s="30"/>
      <c r="P61" s="81" t="s">
        <v>1015</v>
      </c>
      <c r="Q61" s="31" t="s">
        <v>1016</v>
      </c>
      <c r="R61" s="6"/>
      <c r="S61" s="2"/>
    </row>
    <row r="62" spans="1:19" x14ac:dyDescent="0.3">
      <c r="A62" s="2"/>
      <c r="B62" s="83" t="s">
        <v>526</v>
      </c>
      <c r="C62" s="30"/>
      <c r="D62" s="30"/>
      <c r="E62" s="30"/>
      <c r="F62" s="83" t="s">
        <v>686</v>
      </c>
      <c r="G62" s="30"/>
      <c r="H62" s="30"/>
      <c r="I62" s="30"/>
      <c r="J62" s="256" t="s">
        <v>494</v>
      </c>
      <c r="K62" s="210"/>
      <c r="L62" s="206" t="s">
        <v>566</v>
      </c>
      <c r="M62" s="207"/>
      <c r="N62" s="30"/>
      <c r="O62" s="30"/>
      <c r="P62" s="82" t="s">
        <v>1017</v>
      </c>
      <c r="Q62" s="35" t="s">
        <v>1018</v>
      </c>
      <c r="R62" s="6"/>
      <c r="S62" s="2"/>
    </row>
    <row r="63" spans="1:19" x14ac:dyDescent="0.3">
      <c r="A63" s="2"/>
      <c r="B63" s="204" t="s">
        <v>538</v>
      </c>
      <c r="C63" s="204"/>
      <c r="D63" s="204"/>
      <c r="E63" s="204"/>
      <c r="F63" s="238" t="s">
        <v>691</v>
      </c>
      <c r="G63" s="239"/>
      <c r="H63" s="30"/>
      <c r="I63" s="30"/>
      <c r="J63" s="79" t="s">
        <v>841</v>
      </c>
      <c r="K63" s="31" t="s">
        <v>842</v>
      </c>
      <c r="L63" s="79" t="s">
        <v>846</v>
      </c>
      <c r="M63" s="80" t="s">
        <v>845</v>
      </c>
      <c r="N63" s="204" t="s">
        <v>1020</v>
      </c>
      <c r="O63" s="204"/>
      <c r="P63" s="204"/>
      <c r="Q63" s="204"/>
      <c r="R63" s="6"/>
      <c r="S63" s="2"/>
    </row>
    <row r="64" spans="1:19" x14ac:dyDescent="0.3">
      <c r="A64" s="2"/>
      <c r="B64" s="204"/>
      <c r="C64" s="204"/>
      <c r="D64" s="204"/>
      <c r="E64" s="204"/>
      <c r="F64" s="206" t="s">
        <v>494</v>
      </c>
      <c r="G64" s="210"/>
      <c r="H64" s="30"/>
      <c r="I64" s="30"/>
      <c r="J64" s="81" t="s">
        <v>855</v>
      </c>
      <c r="K64" s="34" t="s">
        <v>843</v>
      </c>
      <c r="L64" s="81" t="s">
        <v>847</v>
      </c>
      <c r="M64" s="31" t="s">
        <v>848</v>
      </c>
      <c r="N64" s="204"/>
      <c r="O64" s="204"/>
      <c r="P64" s="204"/>
      <c r="Q64" s="204"/>
      <c r="R64" s="6"/>
      <c r="S64" s="2"/>
    </row>
    <row r="65" spans="1:19" x14ac:dyDescent="0.3">
      <c r="A65" s="2"/>
      <c r="B65" s="227" t="s">
        <v>539</v>
      </c>
      <c r="C65" s="227"/>
      <c r="D65" s="228" t="s">
        <v>545</v>
      </c>
      <c r="E65" s="228"/>
      <c r="F65" s="79" t="s">
        <v>683</v>
      </c>
      <c r="G65" s="80" t="s">
        <v>684</v>
      </c>
      <c r="H65" s="30"/>
      <c r="I65" s="30"/>
      <c r="J65" s="83" t="s">
        <v>844</v>
      </c>
      <c r="K65" s="30"/>
      <c r="L65" s="82" t="s">
        <v>849</v>
      </c>
      <c r="M65" s="35" t="s">
        <v>850</v>
      </c>
      <c r="N65" s="261" t="s">
        <v>1021</v>
      </c>
      <c r="O65" s="261"/>
      <c r="P65" s="273" t="s">
        <v>1027</v>
      </c>
      <c r="Q65" s="273"/>
      <c r="R65" s="6"/>
      <c r="S65" s="2"/>
    </row>
    <row r="66" spans="1:19" x14ac:dyDescent="0.3">
      <c r="A66" s="2"/>
      <c r="B66" s="206" t="s">
        <v>494</v>
      </c>
      <c r="C66" s="207"/>
      <c r="D66" s="206" t="s">
        <v>494</v>
      </c>
      <c r="E66" s="207"/>
      <c r="F66" s="81" t="s">
        <v>685</v>
      </c>
      <c r="G66" s="35" t="s">
        <v>692</v>
      </c>
      <c r="H66" s="30"/>
      <c r="I66" s="30"/>
      <c r="J66" s="279" t="s">
        <v>772</v>
      </c>
      <c r="K66" s="272"/>
      <c r="L66" s="30"/>
      <c r="M66" s="30"/>
      <c r="N66" s="206" t="s">
        <v>566</v>
      </c>
      <c r="O66" s="207"/>
      <c r="P66" s="206" t="s">
        <v>566</v>
      </c>
      <c r="Q66" s="207"/>
      <c r="R66" s="6"/>
      <c r="S66" s="2"/>
    </row>
    <row r="67" spans="1:19" x14ac:dyDescent="0.3">
      <c r="A67" s="2"/>
      <c r="B67" s="79" t="s">
        <v>540</v>
      </c>
      <c r="C67" s="80" t="s">
        <v>541</v>
      </c>
      <c r="D67" s="79" t="s">
        <v>546</v>
      </c>
      <c r="E67" s="80" t="s">
        <v>547</v>
      </c>
      <c r="F67" s="83" t="s">
        <v>693</v>
      </c>
      <c r="G67" s="30"/>
      <c r="H67" s="30"/>
      <c r="I67" s="30"/>
      <c r="J67" s="206" t="s">
        <v>566</v>
      </c>
      <c r="K67" s="210"/>
      <c r="L67" s="30"/>
      <c r="M67" s="30"/>
      <c r="N67" s="79" t="s">
        <v>1022</v>
      </c>
      <c r="O67" s="80" t="s">
        <v>1023</v>
      </c>
      <c r="P67" s="79" t="s">
        <v>1028</v>
      </c>
      <c r="Q67" s="80" t="s">
        <v>1029</v>
      </c>
      <c r="R67" s="6"/>
      <c r="S67" s="2"/>
    </row>
    <row r="68" spans="1:19" x14ac:dyDescent="0.3">
      <c r="A68" s="2"/>
      <c r="B68" s="81" t="s">
        <v>542</v>
      </c>
      <c r="C68" s="35" t="s">
        <v>543</v>
      </c>
      <c r="D68" s="81" t="s">
        <v>548</v>
      </c>
      <c r="E68" s="35" t="s">
        <v>549</v>
      </c>
      <c r="F68" s="204" t="s">
        <v>694</v>
      </c>
      <c r="G68" s="204"/>
      <c r="H68" s="204"/>
      <c r="I68" s="204"/>
      <c r="J68" s="79" t="s">
        <v>852</v>
      </c>
      <c r="K68" s="80" t="s">
        <v>853</v>
      </c>
      <c r="L68" s="30"/>
      <c r="M68" s="30"/>
      <c r="N68" s="81" t="s">
        <v>1024</v>
      </c>
      <c r="O68" s="31" t="s">
        <v>1031</v>
      </c>
      <c r="P68" s="81" t="s">
        <v>1030</v>
      </c>
      <c r="Q68" s="31" t="s">
        <v>1032</v>
      </c>
      <c r="R68" s="6"/>
      <c r="S68" s="2"/>
    </row>
    <row r="69" spans="1:19" x14ac:dyDescent="0.3">
      <c r="A69" s="2"/>
      <c r="B69" s="83" t="s">
        <v>544</v>
      </c>
      <c r="C69" s="30"/>
      <c r="D69" s="83" t="s">
        <v>550</v>
      </c>
      <c r="E69" s="30"/>
      <c r="F69" s="204"/>
      <c r="G69" s="204"/>
      <c r="H69" s="204"/>
      <c r="I69" s="204"/>
      <c r="J69" s="81" t="s">
        <v>854</v>
      </c>
      <c r="K69" s="31" t="s">
        <v>855</v>
      </c>
      <c r="L69" s="30"/>
      <c r="M69" s="30"/>
      <c r="N69" s="82" t="s">
        <v>1026</v>
      </c>
      <c r="O69" s="35" t="s">
        <v>1025</v>
      </c>
      <c r="P69" s="82" t="s">
        <v>1033</v>
      </c>
      <c r="Q69" s="35" t="s">
        <v>1034</v>
      </c>
      <c r="R69" s="6"/>
      <c r="S69" s="2"/>
    </row>
    <row r="70" spans="1:19" x14ac:dyDescent="0.3">
      <c r="A70" s="2"/>
      <c r="B70" s="204" t="s">
        <v>551</v>
      </c>
      <c r="C70" s="204"/>
      <c r="D70" s="204"/>
      <c r="E70" s="204"/>
      <c r="F70" s="230" t="s">
        <v>695</v>
      </c>
      <c r="G70" s="230"/>
      <c r="H70" s="222" t="s">
        <v>703</v>
      </c>
      <c r="I70" s="222"/>
      <c r="J70" s="82" t="s">
        <v>856</v>
      </c>
      <c r="K70" s="35" t="s">
        <v>857</v>
      </c>
      <c r="L70" s="30"/>
      <c r="M70" s="30"/>
      <c r="N70" s="204" t="s">
        <v>1035</v>
      </c>
      <c r="O70" s="204"/>
      <c r="P70" s="204"/>
      <c r="Q70" s="204"/>
      <c r="R70" s="6"/>
      <c r="S70" s="2"/>
    </row>
    <row r="71" spans="1:19" x14ac:dyDescent="0.3">
      <c r="A71" s="2"/>
      <c r="B71" s="204"/>
      <c r="C71" s="204"/>
      <c r="D71" s="204"/>
      <c r="E71" s="204"/>
      <c r="F71" s="206" t="s">
        <v>553</v>
      </c>
      <c r="G71" s="207"/>
      <c r="H71" s="206" t="s">
        <v>553</v>
      </c>
      <c r="I71" s="207"/>
      <c r="J71" s="181" t="s">
        <v>858</v>
      </c>
      <c r="K71" s="182"/>
      <c r="L71" s="182"/>
      <c r="M71" s="183"/>
      <c r="N71" s="204"/>
      <c r="O71" s="204"/>
      <c r="P71" s="204"/>
      <c r="Q71" s="204"/>
      <c r="R71" s="6"/>
      <c r="S71" s="2"/>
    </row>
    <row r="72" spans="1:19" x14ac:dyDescent="0.3">
      <c r="A72" s="2"/>
      <c r="B72" s="229" t="s">
        <v>552</v>
      </c>
      <c r="C72" s="229"/>
      <c r="D72" s="221" t="s">
        <v>564</v>
      </c>
      <c r="E72" s="221"/>
      <c r="F72" s="79" t="s">
        <v>696</v>
      </c>
      <c r="G72" s="80" t="s">
        <v>697</v>
      </c>
      <c r="H72" s="79" t="s">
        <v>704</v>
      </c>
      <c r="I72" s="80" t="s">
        <v>696</v>
      </c>
      <c r="J72" s="187"/>
      <c r="K72" s="188"/>
      <c r="L72" s="188"/>
      <c r="M72" s="189"/>
      <c r="N72" s="276" t="s">
        <v>1036</v>
      </c>
      <c r="O72" s="277"/>
      <c r="P72" s="278" t="s">
        <v>1042</v>
      </c>
      <c r="Q72" s="278"/>
      <c r="R72" s="6"/>
      <c r="S72" s="2"/>
    </row>
    <row r="73" spans="1:19" x14ac:dyDescent="0.3">
      <c r="A73" s="2"/>
      <c r="B73" s="206" t="s">
        <v>553</v>
      </c>
      <c r="C73" s="207"/>
      <c r="D73" s="206" t="s">
        <v>566</v>
      </c>
      <c r="E73" s="207"/>
      <c r="F73" s="81" t="s">
        <v>698</v>
      </c>
      <c r="G73" s="31" t="s">
        <v>699</v>
      </c>
      <c r="H73" s="81" t="s">
        <v>705</v>
      </c>
      <c r="I73" s="31" t="s">
        <v>706</v>
      </c>
      <c r="J73" s="247" t="s">
        <v>859</v>
      </c>
      <c r="K73" s="248"/>
      <c r="L73" s="253" t="s">
        <v>864</v>
      </c>
      <c r="M73" s="254"/>
      <c r="N73" s="206" t="s">
        <v>494</v>
      </c>
      <c r="O73" s="210"/>
      <c r="P73" s="206" t="s">
        <v>566</v>
      </c>
      <c r="Q73" s="207"/>
      <c r="R73" s="6"/>
      <c r="S73" s="2"/>
    </row>
    <row r="74" spans="1:19" x14ac:dyDescent="0.3">
      <c r="A74" s="2"/>
      <c r="B74" s="79" t="s">
        <v>554</v>
      </c>
      <c r="C74" s="80" t="s">
        <v>555</v>
      </c>
      <c r="D74" s="79" t="s">
        <v>555</v>
      </c>
      <c r="E74" s="80" t="s">
        <v>556</v>
      </c>
      <c r="F74" s="81" t="s">
        <v>700</v>
      </c>
      <c r="G74" s="35" t="s">
        <v>701</v>
      </c>
      <c r="H74" s="81" t="s">
        <v>707</v>
      </c>
      <c r="I74" s="35" t="s">
        <v>708</v>
      </c>
      <c r="J74" s="206" t="s">
        <v>494</v>
      </c>
      <c r="K74" s="210"/>
      <c r="L74" s="206" t="s">
        <v>494</v>
      </c>
      <c r="M74" s="210"/>
      <c r="N74" s="79" t="s">
        <v>1037</v>
      </c>
      <c r="O74" s="80" t="s">
        <v>1038</v>
      </c>
      <c r="P74" s="79" t="s">
        <v>1043</v>
      </c>
      <c r="Q74" s="80" t="s">
        <v>1044</v>
      </c>
      <c r="R74" s="6"/>
      <c r="S74" s="2"/>
    </row>
    <row r="75" spans="1:19" x14ac:dyDescent="0.3">
      <c r="A75" s="2"/>
      <c r="B75" s="81" t="s">
        <v>556</v>
      </c>
      <c r="C75" s="31" t="s">
        <v>557</v>
      </c>
      <c r="D75" s="81" t="s">
        <v>561</v>
      </c>
      <c r="E75" s="31" t="s">
        <v>558</v>
      </c>
      <c r="F75" s="83" t="s">
        <v>702</v>
      </c>
      <c r="G75" s="30"/>
      <c r="H75" s="83" t="s">
        <v>709</v>
      </c>
      <c r="I75" s="30"/>
      <c r="J75" s="79" t="s">
        <v>860</v>
      </c>
      <c r="K75" s="80" t="s">
        <v>861</v>
      </c>
      <c r="L75" s="79" t="s">
        <v>865</v>
      </c>
      <c r="M75" s="80" t="s">
        <v>866</v>
      </c>
      <c r="N75" s="81" t="s">
        <v>1039</v>
      </c>
      <c r="O75" s="35" t="s">
        <v>1040</v>
      </c>
      <c r="P75" s="81" t="s">
        <v>1045</v>
      </c>
      <c r="Q75" s="31" t="s">
        <v>1046</v>
      </c>
      <c r="R75" s="6"/>
      <c r="S75" s="2"/>
    </row>
    <row r="76" spans="1:19" x14ac:dyDescent="0.3">
      <c r="A76" s="2"/>
      <c r="B76" s="81" t="s">
        <v>558</v>
      </c>
      <c r="C76" s="35" t="s">
        <v>559</v>
      </c>
      <c r="D76" s="82" t="s">
        <v>562</v>
      </c>
      <c r="E76" s="35" t="s">
        <v>563</v>
      </c>
      <c r="F76" s="204" t="s">
        <v>710</v>
      </c>
      <c r="G76" s="204"/>
      <c r="H76" s="204"/>
      <c r="I76" s="204"/>
      <c r="J76" s="81" t="s">
        <v>869</v>
      </c>
      <c r="K76" s="35" t="s">
        <v>862</v>
      </c>
      <c r="L76" s="81" t="s">
        <v>867</v>
      </c>
      <c r="M76" s="35" t="s">
        <v>868</v>
      </c>
      <c r="N76" s="83" t="s">
        <v>1041</v>
      </c>
      <c r="O76" s="30"/>
      <c r="P76" s="82" t="s">
        <v>1047</v>
      </c>
      <c r="Q76" s="35" t="s">
        <v>1048</v>
      </c>
      <c r="R76" s="6"/>
      <c r="S76" s="2"/>
    </row>
    <row r="77" spans="1:19" x14ac:dyDescent="0.3">
      <c r="A77" s="2"/>
      <c r="B77" s="83" t="s">
        <v>560</v>
      </c>
      <c r="C77" s="30"/>
      <c r="D77" s="30"/>
      <c r="E77" s="30"/>
      <c r="F77" s="204"/>
      <c r="G77" s="204"/>
      <c r="H77" s="204"/>
      <c r="I77" s="204"/>
      <c r="J77" s="83" t="s">
        <v>863</v>
      </c>
      <c r="K77" s="30"/>
      <c r="L77" s="83" t="s">
        <v>870</v>
      </c>
      <c r="M77" s="30"/>
      <c r="N77" s="204">
        <v>41</v>
      </c>
      <c r="O77" s="204"/>
      <c r="P77" s="204"/>
      <c r="Q77" s="204"/>
      <c r="R77" s="6"/>
      <c r="S77" s="2"/>
    </row>
    <row r="78" spans="1:19" x14ac:dyDescent="0.3">
      <c r="A78" s="2"/>
      <c r="B78" s="204" t="s">
        <v>565</v>
      </c>
      <c r="C78" s="204"/>
      <c r="D78" s="204"/>
      <c r="E78" s="204"/>
      <c r="F78" s="241" t="s">
        <v>711</v>
      </c>
      <c r="G78" s="241"/>
      <c r="H78" s="242" t="s">
        <v>715</v>
      </c>
      <c r="I78" s="242"/>
      <c r="J78" s="241" t="s">
        <v>871</v>
      </c>
      <c r="K78" s="241"/>
      <c r="L78" s="30"/>
      <c r="M78" s="30"/>
      <c r="N78" s="204"/>
      <c r="O78" s="204"/>
      <c r="P78" s="204"/>
      <c r="Q78" s="204"/>
      <c r="R78" s="6"/>
      <c r="S78" s="2"/>
    </row>
    <row r="79" spans="1:19" x14ac:dyDescent="0.3">
      <c r="A79" s="2"/>
      <c r="B79" s="204"/>
      <c r="C79" s="204"/>
      <c r="D79" s="204"/>
      <c r="E79" s="204"/>
      <c r="F79" s="206" t="s">
        <v>488</v>
      </c>
      <c r="G79" s="210"/>
      <c r="H79" s="206" t="s">
        <v>488</v>
      </c>
      <c r="I79" s="210"/>
      <c r="J79" s="206" t="s">
        <v>566</v>
      </c>
      <c r="K79" s="207"/>
      <c r="L79" s="30"/>
      <c r="M79" s="30"/>
      <c r="N79" s="287" t="s">
        <v>1049</v>
      </c>
      <c r="O79" s="257"/>
      <c r="P79" s="230" t="s">
        <v>1053</v>
      </c>
      <c r="Q79" s="230"/>
      <c r="R79" s="6"/>
      <c r="S79" s="2"/>
    </row>
    <row r="80" spans="1:19" x14ac:dyDescent="0.3">
      <c r="A80" s="2"/>
      <c r="B80" s="226" t="s">
        <v>567</v>
      </c>
      <c r="C80" s="226"/>
      <c r="D80" s="227" t="s">
        <v>573</v>
      </c>
      <c r="E80" s="227"/>
      <c r="F80" s="81" t="s">
        <v>712</v>
      </c>
      <c r="G80" s="31" t="s">
        <v>713</v>
      </c>
      <c r="H80" s="81" t="s">
        <v>716</v>
      </c>
      <c r="I80" s="31" t="s">
        <v>717</v>
      </c>
      <c r="J80" s="79" t="s">
        <v>865</v>
      </c>
      <c r="K80" s="80" t="s">
        <v>866</v>
      </c>
      <c r="L80" s="30"/>
      <c r="M80" s="30"/>
      <c r="N80" s="206" t="s">
        <v>488</v>
      </c>
      <c r="O80" s="210"/>
      <c r="P80" s="206" t="s">
        <v>482</v>
      </c>
      <c r="Q80" s="210"/>
      <c r="R80" s="6"/>
      <c r="S80" s="2"/>
    </row>
    <row r="81" spans="1:19" x14ac:dyDescent="0.3">
      <c r="A81" s="2"/>
      <c r="B81" s="206" t="s">
        <v>494</v>
      </c>
      <c r="C81" s="207"/>
      <c r="D81" s="206" t="s">
        <v>494</v>
      </c>
      <c r="E81" s="207"/>
      <c r="F81" s="82" t="s">
        <v>714</v>
      </c>
      <c r="G81" s="79"/>
      <c r="H81" s="82" t="s">
        <v>718</v>
      </c>
      <c r="I81" s="79"/>
      <c r="J81" s="81" t="s">
        <v>867</v>
      </c>
      <c r="K81" s="31" t="s">
        <v>872</v>
      </c>
      <c r="L81" s="30"/>
      <c r="M81" s="30"/>
      <c r="N81" s="81" t="s">
        <v>1050</v>
      </c>
      <c r="O81" s="31" t="s">
        <v>1051</v>
      </c>
      <c r="P81" s="81" t="s">
        <v>1054</v>
      </c>
      <c r="Q81" s="31" t="s">
        <v>1055</v>
      </c>
      <c r="R81" s="6"/>
      <c r="S81" s="2"/>
    </row>
    <row r="82" spans="1:19" x14ac:dyDescent="0.3">
      <c r="A82" s="2"/>
      <c r="B82" s="79" t="s">
        <v>568</v>
      </c>
      <c r="C82" s="80" t="s">
        <v>569</v>
      </c>
      <c r="D82" s="79" t="s">
        <v>574</v>
      </c>
      <c r="E82" s="80" t="s">
        <v>575</v>
      </c>
      <c r="F82" s="243" t="s">
        <v>719</v>
      </c>
      <c r="G82" s="243"/>
      <c r="H82" s="30"/>
      <c r="I82" s="30"/>
      <c r="J82" s="82" t="s">
        <v>860</v>
      </c>
      <c r="K82" s="35" t="s">
        <v>861</v>
      </c>
      <c r="L82" s="30"/>
      <c r="M82" s="30"/>
      <c r="N82" s="82" t="s">
        <v>1052</v>
      </c>
      <c r="O82" s="79"/>
      <c r="P82" s="82" t="s">
        <v>1050</v>
      </c>
      <c r="Q82" s="35" t="s">
        <v>1056</v>
      </c>
      <c r="R82" s="6"/>
      <c r="S82" s="2"/>
    </row>
    <row r="83" spans="1:19" x14ac:dyDescent="0.3">
      <c r="A83" s="2"/>
      <c r="B83" s="81" t="s">
        <v>570</v>
      </c>
      <c r="C83" s="35" t="s">
        <v>571</v>
      </c>
      <c r="D83" s="81" t="s">
        <v>576</v>
      </c>
      <c r="E83" s="35" t="s">
        <v>577</v>
      </c>
      <c r="F83" s="206" t="s">
        <v>482</v>
      </c>
      <c r="G83" s="210"/>
      <c r="H83" s="30"/>
      <c r="I83" s="30"/>
      <c r="J83" s="181" t="s">
        <v>873</v>
      </c>
      <c r="K83" s="182"/>
      <c r="L83" s="182"/>
      <c r="M83" s="183"/>
      <c r="N83" s="230" t="s">
        <v>1153</v>
      </c>
      <c r="O83" s="230"/>
      <c r="P83" s="30"/>
      <c r="Q83" s="31"/>
      <c r="R83" s="6"/>
      <c r="S83" s="2"/>
    </row>
    <row r="84" spans="1:19" x14ac:dyDescent="0.3">
      <c r="A84" s="2"/>
      <c r="B84" s="83" t="s">
        <v>572</v>
      </c>
      <c r="C84" s="30"/>
      <c r="D84" s="83" t="s">
        <v>578</v>
      </c>
      <c r="E84" s="30"/>
      <c r="F84" s="81" t="s">
        <v>713</v>
      </c>
      <c r="G84" s="31" t="s">
        <v>714</v>
      </c>
      <c r="H84" s="30"/>
      <c r="I84" s="30"/>
      <c r="J84" s="187"/>
      <c r="K84" s="188"/>
      <c r="L84" s="188"/>
      <c r="M84" s="189"/>
      <c r="N84" s="206" t="s">
        <v>482</v>
      </c>
      <c r="O84" s="210"/>
      <c r="P84" s="30"/>
      <c r="Q84" s="31"/>
      <c r="R84" s="6"/>
      <c r="S84" s="2"/>
    </row>
    <row r="85" spans="1:19" x14ac:dyDescent="0.3">
      <c r="A85" s="2"/>
      <c r="B85" s="228" t="s">
        <v>579</v>
      </c>
      <c r="C85" s="228"/>
      <c r="D85" s="30"/>
      <c r="E85" s="30"/>
      <c r="F85" s="82" t="s">
        <v>720</v>
      </c>
      <c r="G85" s="35" t="s">
        <v>721</v>
      </c>
      <c r="H85" s="30"/>
      <c r="I85" s="30"/>
      <c r="J85" s="270" t="s">
        <v>874</v>
      </c>
      <c r="K85" s="270"/>
      <c r="L85" s="271" t="s">
        <v>882</v>
      </c>
      <c r="M85" s="272"/>
      <c r="N85" s="81" t="s">
        <v>1057</v>
      </c>
      <c r="O85" s="31" t="s">
        <v>1058</v>
      </c>
      <c r="P85" s="30"/>
      <c r="Q85" s="31"/>
      <c r="R85" s="6"/>
      <c r="S85" s="2"/>
    </row>
    <row r="86" spans="1:19" x14ac:dyDescent="0.3">
      <c r="A86" s="2"/>
      <c r="B86" s="206" t="s">
        <v>494</v>
      </c>
      <c r="C86" s="207"/>
      <c r="D86" s="30"/>
      <c r="E86" s="30"/>
      <c r="F86" s="204" t="s">
        <v>722</v>
      </c>
      <c r="G86" s="204"/>
      <c r="H86" s="204"/>
      <c r="I86" s="204"/>
      <c r="J86" s="206" t="s">
        <v>566</v>
      </c>
      <c r="K86" s="207"/>
      <c r="L86" s="206" t="s">
        <v>494</v>
      </c>
      <c r="M86" s="210"/>
      <c r="N86" s="82" t="s">
        <v>1059</v>
      </c>
      <c r="O86" s="35" t="s">
        <v>1060</v>
      </c>
      <c r="P86" s="30"/>
      <c r="Q86" s="31"/>
      <c r="R86" s="6"/>
      <c r="S86" s="2"/>
    </row>
    <row r="87" spans="1:19" x14ac:dyDescent="0.3">
      <c r="A87" s="2"/>
      <c r="B87" s="79" t="s">
        <v>580</v>
      </c>
      <c r="C87" s="80" t="s">
        <v>569</v>
      </c>
      <c r="D87" s="30"/>
      <c r="E87" s="30"/>
      <c r="F87" s="204"/>
      <c r="G87" s="204"/>
      <c r="H87" s="204"/>
      <c r="I87" s="204"/>
      <c r="J87" s="79" t="s">
        <v>875</v>
      </c>
      <c r="K87" s="80" t="s">
        <v>876</v>
      </c>
      <c r="L87" s="79" t="s">
        <v>881</v>
      </c>
      <c r="M87" s="80" t="s">
        <v>883</v>
      </c>
      <c r="N87" s="204">
        <v>42</v>
      </c>
      <c r="O87" s="204"/>
      <c r="P87" s="204"/>
      <c r="Q87" s="204"/>
      <c r="R87" s="6"/>
      <c r="S87" s="2"/>
    </row>
    <row r="88" spans="1:19" x14ac:dyDescent="0.3">
      <c r="A88" s="2"/>
      <c r="B88" s="81" t="s">
        <v>574</v>
      </c>
      <c r="C88" s="35" t="s">
        <v>581</v>
      </c>
      <c r="D88" s="30"/>
      <c r="E88" s="30"/>
      <c r="F88" s="229" t="s">
        <v>723</v>
      </c>
      <c r="G88" s="229"/>
      <c r="H88" s="211" t="s">
        <v>728</v>
      </c>
      <c r="I88" s="211"/>
      <c r="J88" s="81" t="s">
        <v>877</v>
      </c>
      <c r="K88" s="31" t="s">
        <v>878</v>
      </c>
      <c r="L88" s="81" t="s">
        <v>884</v>
      </c>
      <c r="M88" s="35" t="s">
        <v>885</v>
      </c>
      <c r="N88" s="204"/>
      <c r="O88" s="204"/>
      <c r="P88" s="204"/>
      <c r="Q88" s="204"/>
      <c r="R88" s="6"/>
      <c r="S88" s="2"/>
    </row>
    <row r="89" spans="1:19" x14ac:dyDescent="0.3">
      <c r="A89" s="2"/>
      <c r="B89" s="83" t="s">
        <v>575</v>
      </c>
      <c r="C89" s="30"/>
      <c r="D89" s="30"/>
      <c r="E89" s="30"/>
      <c r="F89" s="206" t="s">
        <v>482</v>
      </c>
      <c r="G89" s="210"/>
      <c r="H89" s="206" t="s">
        <v>553</v>
      </c>
      <c r="I89" s="207"/>
      <c r="J89" s="82" t="s">
        <v>879</v>
      </c>
      <c r="K89" s="35" t="s">
        <v>880</v>
      </c>
      <c r="L89" s="83" t="s">
        <v>886</v>
      </c>
      <c r="M89" s="30"/>
      <c r="N89" s="270" t="s">
        <v>1061</v>
      </c>
      <c r="O89" s="270"/>
      <c r="P89" s="286" t="s">
        <v>1066</v>
      </c>
      <c r="Q89" s="286"/>
      <c r="R89" s="6"/>
      <c r="S89" s="2"/>
    </row>
    <row r="90" spans="1:19" x14ac:dyDescent="0.3">
      <c r="A90" s="2"/>
      <c r="B90" s="204" t="s">
        <v>582</v>
      </c>
      <c r="C90" s="204"/>
      <c r="D90" s="204"/>
      <c r="E90" s="204"/>
      <c r="F90" s="81" t="s">
        <v>724</v>
      </c>
      <c r="G90" s="31" t="s">
        <v>725</v>
      </c>
      <c r="H90" s="79" t="s">
        <v>729</v>
      </c>
      <c r="I90" s="80" t="s">
        <v>731</v>
      </c>
      <c r="J90" s="181" t="s">
        <v>887</v>
      </c>
      <c r="K90" s="182"/>
      <c r="L90" s="182"/>
      <c r="M90" s="183"/>
      <c r="N90" s="206" t="s">
        <v>482</v>
      </c>
      <c r="O90" s="210"/>
      <c r="P90" s="256" t="s">
        <v>992</v>
      </c>
      <c r="Q90" s="207"/>
      <c r="R90" s="6"/>
      <c r="S90" s="2"/>
    </row>
    <row r="91" spans="1:19" x14ac:dyDescent="0.3">
      <c r="A91" s="2"/>
      <c r="B91" s="204"/>
      <c r="C91" s="204"/>
      <c r="D91" s="204"/>
      <c r="E91" s="204"/>
      <c r="F91" s="82" t="s">
        <v>726</v>
      </c>
      <c r="G91" s="35" t="s">
        <v>727</v>
      </c>
      <c r="H91" s="81" t="s">
        <v>730</v>
      </c>
      <c r="I91" s="31" t="s">
        <v>732</v>
      </c>
      <c r="J91" s="187"/>
      <c r="K91" s="188"/>
      <c r="L91" s="188"/>
      <c r="M91" s="189"/>
      <c r="N91" s="81" t="s">
        <v>1062</v>
      </c>
      <c r="O91" s="31" t="s">
        <v>1063</v>
      </c>
      <c r="P91" s="79" t="s">
        <v>1067</v>
      </c>
      <c r="Q91" s="80" t="s">
        <v>1063</v>
      </c>
      <c r="R91" s="6"/>
      <c r="S91" s="2"/>
    </row>
    <row r="92" spans="1:19" x14ac:dyDescent="0.3">
      <c r="A92" s="2"/>
      <c r="B92" s="223" t="s">
        <v>583</v>
      </c>
      <c r="C92" s="223"/>
      <c r="D92" s="224" t="s">
        <v>594</v>
      </c>
      <c r="E92" s="225"/>
      <c r="F92" s="30"/>
      <c r="G92" s="30"/>
      <c r="H92" s="81" t="s">
        <v>733</v>
      </c>
      <c r="I92" s="35" t="s">
        <v>734</v>
      </c>
      <c r="J92" s="266" t="s">
        <v>888</v>
      </c>
      <c r="K92" s="267"/>
      <c r="L92" s="268" t="s">
        <v>894</v>
      </c>
      <c r="M92" s="269"/>
      <c r="N92" s="82" t="s">
        <v>1064</v>
      </c>
      <c r="O92" s="35" t="s">
        <v>1065</v>
      </c>
      <c r="P92" s="81" t="s">
        <v>1064</v>
      </c>
      <c r="Q92" s="31" t="s">
        <v>1065</v>
      </c>
      <c r="R92" s="6"/>
      <c r="S92" s="2"/>
    </row>
    <row r="93" spans="1:19" x14ac:dyDescent="0.3">
      <c r="A93" s="2"/>
      <c r="B93" s="206" t="s">
        <v>566</v>
      </c>
      <c r="C93" s="207"/>
      <c r="D93" s="206" t="s">
        <v>482</v>
      </c>
      <c r="E93" s="210"/>
      <c r="F93" s="30"/>
      <c r="G93" s="30"/>
      <c r="H93" s="83" t="s">
        <v>735</v>
      </c>
      <c r="I93" s="30"/>
      <c r="J93" s="206" t="s">
        <v>494</v>
      </c>
      <c r="K93" s="210"/>
      <c r="L93" s="206" t="s">
        <v>494</v>
      </c>
      <c r="M93" s="210"/>
      <c r="N93" s="30"/>
      <c r="O93" s="30"/>
      <c r="P93" s="81" t="s">
        <v>1068</v>
      </c>
      <c r="Q93" s="31" t="s">
        <v>1069</v>
      </c>
      <c r="R93" s="6"/>
      <c r="S93" s="2"/>
    </row>
    <row r="94" spans="1:19" x14ac:dyDescent="0.3">
      <c r="A94" s="2"/>
      <c r="B94" s="79" t="s">
        <v>588</v>
      </c>
      <c r="C94" s="80" t="s">
        <v>589</v>
      </c>
      <c r="D94" s="81" t="s">
        <v>595</v>
      </c>
      <c r="E94" s="31" t="s">
        <v>596</v>
      </c>
      <c r="F94" s="204" t="s">
        <v>736</v>
      </c>
      <c r="G94" s="204"/>
      <c r="H94" s="204"/>
      <c r="I94" s="204"/>
      <c r="J94" s="79" t="s">
        <v>889</v>
      </c>
      <c r="K94" s="80" t="s">
        <v>890</v>
      </c>
      <c r="L94" s="79" t="s">
        <v>895</v>
      </c>
      <c r="M94" s="80" t="s">
        <v>896</v>
      </c>
      <c r="N94" s="30"/>
      <c r="O94" s="30"/>
      <c r="P94" s="82" t="s">
        <v>1070</v>
      </c>
      <c r="Q94" s="35" t="s">
        <v>1071</v>
      </c>
      <c r="R94" s="6"/>
      <c r="S94" s="2"/>
    </row>
    <row r="95" spans="1:19" x14ac:dyDescent="0.3">
      <c r="A95" s="2"/>
      <c r="B95" s="81" t="s">
        <v>590</v>
      </c>
      <c r="C95" s="31" t="s">
        <v>591</v>
      </c>
      <c r="D95" s="82" t="s">
        <v>597</v>
      </c>
      <c r="E95" s="35" t="s">
        <v>598</v>
      </c>
      <c r="F95" s="204"/>
      <c r="G95" s="204"/>
      <c r="H95" s="204"/>
      <c r="I95" s="204"/>
      <c r="J95" s="81" t="s">
        <v>891</v>
      </c>
      <c r="K95" s="35" t="s">
        <v>892</v>
      </c>
      <c r="L95" s="81" t="s">
        <v>897</v>
      </c>
      <c r="M95" s="35" t="s">
        <v>898</v>
      </c>
      <c r="N95" s="204">
        <v>43</v>
      </c>
      <c r="O95" s="204"/>
      <c r="P95" s="204"/>
      <c r="Q95" s="204"/>
      <c r="R95" s="6"/>
      <c r="S95" s="2"/>
    </row>
    <row r="96" spans="1:19" x14ac:dyDescent="0.3">
      <c r="A96" s="2"/>
      <c r="B96" s="82" t="s">
        <v>592</v>
      </c>
      <c r="C96" s="35" t="s">
        <v>593</v>
      </c>
      <c r="D96" s="30"/>
      <c r="E96" s="30"/>
      <c r="F96" s="244" t="s">
        <v>738</v>
      </c>
      <c r="G96" s="244"/>
      <c r="H96" s="245" t="s">
        <v>744</v>
      </c>
      <c r="I96" s="245"/>
      <c r="J96" s="83" t="s">
        <v>893</v>
      </c>
      <c r="K96" s="30"/>
      <c r="L96" s="83" t="s">
        <v>899</v>
      </c>
      <c r="M96" s="30"/>
      <c r="N96" s="204"/>
      <c r="O96" s="204"/>
      <c r="P96" s="204"/>
      <c r="Q96" s="204"/>
      <c r="R96" s="6"/>
      <c r="S96" s="2"/>
    </row>
    <row r="97" spans="1:19" x14ac:dyDescent="0.3">
      <c r="A97" s="2"/>
      <c r="B97" s="204" t="s">
        <v>599</v>
      </c>
      <c r="C97" s="204"/>
      <c r="D97" s="204"/>
      <c r="E97" s="204"/>
      <c r="F97" s="206" t="s">
        <v>566</v>
      </c>
      <c r="G97" s="207"/>
      <c r="H97" s="206" t="s">
        <v>566</v>
      </c>
      <c r="I97" s="207"/>
      <c r="J97" s="181" t="s">
        <v>900</v>
      </c>
      <c r="K97" s="182"/>
      <c r="L97" s="182"/>
      <c r="M97" s="183"/>
      <c r="N97" s="282" t="s">
        <v>1072</v>
      </c>
      <c r="O97" s="282"/>
      <c r="P97" s="283" t="s">
        <v>1077</v>
      </c>
      <c r="Q97" s="283"/>
      <c r="R97" s="6"/>
      <c r="S97" s="2"/>
    </row>
    <row r="98" spans="1:19" x14ac:dyDescent="0.3">
      <c r="A98" s="2"/>
      <c r="B98" s="204"/>
      <c r="C98" s="204"/>
      <c r="D98" s="204"/>
      <c r="E98" s="204"/>
      <c r="F98" s="79" t="s">
        <v>739</v>
      </c>
      <c r="G98" s="80" t="s">
        <v>655</v>
      </c>
      <c r="H98" s="79" t="s">
        <v>568</v>
      </c>
      <c r="I98" s="80" t="s">
        <v>745</v>
      </c>
      <c r="J98" s="187"/>
      <c r="K98" s="188"/>
      <c r="L98" s="188"/>
      <c r="M98" s="189"/>
      <c r="N98" s="206" t="s">
        <v>482</v>
      </c>
      <c r="O98" s="210"/>
      <c r="P98" s="206" t="s">
        <v>482</v>
      </c>
      <c r="Q98" s="210"/>
      <c r="R98" s="6"/>
      <c r="S98" s="2"/>
    </row>
    <row r="99" spans="1:19" x14ac:dyDescent="0.3">
      <c r="A99" s="2"/>
      <c r="B99" s="230" t="s">
        <v>600</v>
      </c>
      <c r="C99" s="230"/>
      <c r="D99" s="229" t="s">
        <v>606</v>
      </c>
      <c r="E99" s="229"/>
      <c r="F99" s="81" t="s">
        <v>740</v>
      </c>
      <c r="G99" s="31" t="s">
        <v>741</v>
      </c>
      <c r="H99" s="81" t="s">
        <v>746</v>
      </c>
      <c r="I99" s="31" t="s">
        <v>747</v>
      </c>
      <c r="J99" s="262" t="s">
        <v>901</v>
      </c>
      <c r="K99" s="263"/>
      <c r="L99" s="230" t="s">
        <v>907</v>
      </c>
      <c r="M99" s="230"/>
      <c r="N99" s="81" t="s">
        <v>1073</v>
      </c>
      <c r="O99" s="31" t="s">
        <v>1074</v>
      </c>
      <c r="P99" s="81" t="s">
        <v>1078</v>
      </c>
      <c r="Q99" s="31" t="s">
        <v>1079</v>
      </c>
      <c r="R99" s="6"/>
      <c r="S99" s="2"/>
    </row>
    <row r="100" spans="1:19" x14ac:dyDescent="0.3">
      <c r="A100" s="2"/>
      <c r="B100" s="206" t="s">
        <v>494</v>
      </c>
      <c r="C100" s="207"/>
      <c r="D100" s="206" t="s">
        <v>553</v>
      </c>
      <c r="E100" s="207"/>
      <c r="F100" s="82" t="s">
        <v>742</v>
      </c>
      <c r="G100" s="35" t="s">
        <v>743</v>
      </c>
      <c r="H100" s="82" t="s">
        <v>748</v>
      </c>
      <c r="I100" s="35" t="s">
        <v>749</v>
      </c>
      <c r="J100" s="206" t="s">
        <v>494</v>
      </c>
      <c r="K100" s="210"/>
      <c r="L100" s="206" t="s">
        <v>482</v>
      </c>
      <c r="M100" s="210"/>
      <c r="N100" s="82" t="s">
        <v>1075</v>
      </c>
      <c r="O100" s="35" t="s">
        <v>1076</v>
      </c>
      <c r="P100" s="82" t="s">
        <v>1080</v>
      </c>
      <c r="Q100" s="35" t="s">
        <v>1081</v>
      </c>
      <c r="R100" s="6"/>
      <c r="S100" s="2"/>
    </row>
    <row r="101" spans="1:19" x14ac:dyDescent="0.3">
      <c r="A101" s="2"/>
      <c r="B101" s="79" t="s">
        <v>601</v>
      </c>
      <c r="C101" s="80" t="s">
        <v>602</v>
      </c>
      <c r="D101" s="79" t="s">
        <v>607</v>
      </c>
      <c r="E101" s="80" t="s">
        <v>608</v>
      </c>
      <c r="F101" s="245" t="s">
        <v>750</v>
      </c>
      <c r="G101" s="245"/>
      <c r="H101" s="30"/>
      <c r="I101" s="30"/>
      <c r="J101" s="79" t="s">
        <v>902</v>
      </c>
      <c r="K101" s="80" t="s">
        <v>903</v>
      </c>
      <c r="L101" s="81" t="s">
        <v>908</v>
      </c>
      <c r="M101" s="31" t="s">
        <v>909</v>
      </c>
      <c r="N101" s="204">
        <v>44</v>
      </c>
      <c r="O101" s="204"/>
      <c r="P101" s="204"/>
      <c r="Q101" s="204"/>
      <c r="R101" s="6"/>
      <c r="S101" s="2"/>
    </row>
    <row r="102" spans="1:19" x14ac:dyDescent="0.3">
      <c r="A102" s="2"/>
      <c r="B102" s="81" t="s">
        <v>603</v>
      </c>
      <c r="C102" s="35" t="s">
        <v>604</v>
      </c>
      <c r="D102" s="81" t="s">
        <v>609</v>
      </c>
      <c r="E102" s="31" t="s">
        <v>610</v>
      </c>
      <c r="F102" s="206" t="s">
        <v>482</v>
      </c>
      <c r="G102" s="210"/>
      <c r="H102" s="30"/>
      <c r="I102" s="30"/>
      <c r="J102" s="81" t="s">
        <v>904</v>
      </c>
      <c r="K102" s="35" t="s">
        <v>905</v>
      </c>
      <c r="L102" s="82" t="s">
        <v>910</v>
      </c>
      <c r="M102" s="35" t="s">
        <v>911</v>
      </c>
      <c r="N102" s="204"/>
      <c r="O102" s="204"/>
      <c r="P102" s="204"/>
      <c r="Q102" s="204"/>
      <c r="R102" s="6"/>
      <c r="S102" s="2"/>
    </row>
    <row r="103" spans="1:19" x14ac:dyDescent="0.3">
      <c r="A103" s="2"/>
      <c r="B103" s="83" t="s">
        <v>605</v>
      </c>
      <c r="C103" s="30"/>
      <c r="D103" s="81" t="s">
        <v>611</v>
      </c>
      <c r="E103" s="35" t="s">
        <v>612</v>
      </c>
      <c r="F103" s="81" t="s">
        <v>751</v>
      </c>
      <c r="G103" s="31" t="s">
        <v>752</v>
      </c>
      <c r="H103" s="30"/>
      <c r="I103" s="30"/>
      <c r="J103" s="83" t="s">
        <v>906</v>
      </c>
      <c r="K103" s="30"/>
      <c r="L103" s="30"/>
      <c r="M103" s="30"/>
      <c r="N103" s="284" t="s">
        <v>1082</v>
      </c>
      <c r="O103" s="285"/>
      <c r="P103" s="280" t="s">
        <v>1088</v>
      </c>
      <c r="Q103" s="280"/>
      <c r="R103" s="6"/>
      <c r="S103" s="2"/>
    </row>
    <row r="104" spans="1:19" x14ac:dyDescent="0.3">
      <c r="A104" s="2"/>
      <c r="B104" s="233" t="s">
        <v>1149</v>
      </c>
      <c r="C104" s="234"/>
      <c r="D104" s="83" t="s">
        <v>613</v>
      </c>
      <c r="E104" s="30"/>
      <c r="F104" s="82" t="s">
        <v>745</v>
      </c>
      <c r="G104" s="35" t="s">
        <v>753</v>
      </c>
      <c r="H104" s="30"/>
      <c r="I104" s="30"/>
      <c r="J104" s="181" t="s">
        <v>912</v>
      </c>
      <c r="K104" s="182"/>
      <c r="L104" s="182"/>
      <c r="M104" s="183"/>
      <c r="N104" s="206" t="s">
        <v>494</v>
      </c>
      <c r="O104" s="210"/>
      <c r="P104" s="206" t="s">
        <v>482</v>
      </c>
      <c r="Q104" s="210"/>
      <c r="R104" s="6"/>
      <c r="S104" s="2"/>
    </row>
    <row r="105" spans="1:19" x14ac:dyDescent="0.3">
      <c r="A105" s="2"/>
      <c r="B105" s="206" t="s">
        <v>482</v>
      </c>
      <c r="C105" s="210"/>
      <c r="D105" s="30"/>
      <c r="E105" s="30"/>
      <c r="F105" s="204" t="s">
        <v>754</v>
      </c>
      <c r="G105" s="204"/>
      <c r="H105" s="204"/>
      <c r="I105" s="204"/>
      <c r="J105" s="187"/>
      <c r="K105" s="188"/>
      <c r="L105" s="188"/>
      <c r="M105" s="189"/>
      <c r="N105" s="79" t="s">
        <v>1083</v>
      </c>
      <c r="O105" s="80" t="s">
        <v>1084</v>
      </c>
      <c r="P105" s="81" t="s">
        <v>1089</v>
      </c>
      <c r="Q105" s="31" t="s">
        <v>1090</v>
      </c>
      <c r="R105" s="6"/>
      <c r="S105" s="2"/>
    </row>
    <row r="106" spans="1:19" x14ac:dyDescent="0.3">
      <c r="A106" s="2"/>
      <c r="B106" s="81" t="s">
        <v>601</v>
      </c>
      <c r="C106" s="31" t="s">
        <v>607</v>
      </c>
      <c r="D106" s="30"/>
      <c r="E106" s="30"/>
      <c r="F106" s="204"/>
      <c r="G106" s="204"/>
      <c r="H106" s="204"/>
      <c r="I106" s="204"/>
      <c r="J106" s="264" t="s">
        <v>913</v>
      </c>
      <c r="K106" s="264"/>
      <c r="L106" s="260" t="s">
        <v>921</v>
      </c>
      <c r="M106" s="260"/>
      <c r="N106" s="81" t="s">
        <v>1085</v>
      </c>
      <c r="O106" s="35" t="s">
        <v>1086</v>
      </c>
      <c r="P106" s="82" t="s">
        <v>1091</v>
      </c>
      <c r="Q106" s="35" t="s">
        <v>1092</v>
      </c>
      <c r="R106" s="6"/>
      <c r="S106" s="2"/>
    </row>
    <row r="107" spans="1:19" x14ac:dyDescent="0.3">
      <c r="A107" s="2"/>
      <c r="B107" s="82" t="s">
        <v>608</v>
      </c>
      <c r="C107" s="35" t="s">
        <v>609</v>
      </c>
      <c r="D107" s="30"/>
      <c r="E107" s="30"/>
      <c r="F107" s="246" t="s">
        <v>755</v>
      </c>
      <c r="G107" s="246"/>
      <c r="H107" s="249" t="s">
        <v>759</v>
      </c>
      <c r="I107" s="250"/>
      <c r="J107" s="206" t="s">
        <v>553</v>
      </c>
      <c r="K107" s="207"/>
      <c r="L107" s="206" t="s">
        <v>482</v>
      </c>
      <c r="M107" s="210"/>
      <c r="N107" s="83" t="s">
        <v>1087</v>
      </c>
      <c r="O107" s="30"/>
      <c r="P107" s="30"/>
      <c r="Q107" s="31"/>
      <c r="R107" s="6"/>
      <c r="S107" s="2"/>
    </row>
    <row r="108" spans="1:19" x14ac:dyDescent="0.3">
      <c r="A108" s="2"/>
      <c r="B108" s="204" t="s">
        <v>614</v>
      </c>
      <c r="C108" s="204"/>
      <c r="D108" s="204"/>
      <c r="E108" s="204"/>
      <c r="F108" s="206" t="s">
        <v>488</v>
      </c>
      <c r="G108" s="210"/>
      <c r="H108" s="206" t="s">
        <v>494</v>
      </c>
      <c r="I108" s="210"/>
      <c r="J108" s="79" t="s">
        <v>914</v>
      </c>
      <c r="K108" s="80" t="s">
        <v>915</v>
      </c>
      <c r="L108" s="81" t="s">
        <v>922</v>
      </c>
      <c r="M108" s="31" t="s">
        <v>923</v>
      </c>
      <c r="N108" s="281" t="s">
        <v>1093</v>
      </c>
      <c r="O108" s="281"/>
      <c r="P108" s="30"/>
      <c r="Q108" s="31"/>
      <c r="R108" s="6"/>
      <c r="S108" s="2"/>
    </row>
    <row r="109" spans="1:19" x14ac:dyDescent="0.3">
      <c r="A109" s="2"/>
      <c r="B109" s="204"/>
      <c r="C109" s="204"/>
      <c r="D109" s="204"/>
      <c r="E109" s="204"/>
      <c r="F109" s="81" t="s">
        <v>756</v>
      </c>
      <c r="G109" s="31" t="s">
        <v>757</v>
      </c>
      <c r="H109" s="79" t="s">
        <v>760</v>
      </c>
      <c r="I109" s="80" t="s">
        <v>761</v>
      </c>
      <c r="J109" s="81" t="s">
        <v>916</v>
      </c>
      <c r="K109" s="31" t="s">
        <v>917</v>
      </c>
      <c r="L109" s="82" t="s">
        <v>924</v>
      </c>
      <c r="M109" s="35" t="s">
        <v>925</v>
      </c>
      <c r="N109" s="206" t="s">
        <v>488</v>
      </c>
      <c r="O109" s="210"/>
      <c r="P109" s="30"/>
      <c r="Q109" s="31"/>
      <c r="R109" s="6"/>
      <c r="S109" s="2"/>
    </row>
    <row r="110" spans="1:19" x14ac:dyDescent="0.3">
      <c r="A110" s="2"/>
      <c r="B110" s="235" t="s">
        <v>615</v>
      </c>
      <c r="C110" s="235"/>
      <c r="D110" s="30"/>
      <c r="E110" s="30"/>
      <c r="F110" s="82" t="s">
        <v>758</v>
      </c>
      <c r="G110" s="79"/>
      <c r="H110" s="81" t="s">
        <v>762</v>
      </c>
      <c r="I110" s="35" t="s">
        <v>763</v>
      </c>
      <c r="J110" s="81" t="s">
        <v>918</v>
      </c>
      <c r="K110" s="35" t="s">
        <v>919</v>
      </c>
      <c r="L110" s="30"/>
      <c r="M110" s="30"/>
      <c r="N110" s="81" t="s">
        <v>1094</v>
      </c>
      <c r="O110" s="31" t="s">
        <v>1095</v>
      </c>
      <c r="P110" s="30"/>
      <c r="Q110" s="31"/>
      <c r="R110" s="6"/>
      <c r="S110" s="2"/>
    </row>
    <row r="111" spans="1:19" x14ac:dyDescent="0.3">
      <c r="A111" s="2"/>
      <c r="B111" s="206" t="s">
        <v>494</v>
      </c>
      <c r="C111" s="207"/>
      <c r="D111" s="30"/>
      <c r="E111" s="30"/>
      <c r="F111" s="30"/>
      <c r="G111" s="30"/>
      <c r="H111" s="83" t="s">
        <v>764</v>
      </c>
      <c r="I111" s="30"/>
      <c r="J111" s="83" t="s">
        <v>920</v>
      </c>
      <c r="K111" s="30"/>
      <c r="L111" s="30"/>
      <c r="M111" s="30"/>
      <c r="N111" s="82" t="s">
        <v>1096</v>
      </c>
      <c r="O111" s="79"/>
      <c r="P111" s="30"/>
      <c r="Q111" s="31"/>
      <c r="R111" s="6"/>
      <c r="S111" s="2"/>
    </row>
    <row r="112" spans="1:19" x14ac:dyDescent="0.3">
      <c r="A112" s="2"/>
      <c r="B112" s="79" t="s">
        <v>616</v>
      </c>
      <c r="C112" s="80" t="s">
        <v>617</v>
      </c>
      <c r="D112" s="30"/>
      <c r="E112" s="30"/>
      <c r="F112" s="247" t="s">
        <v>1150</v>
      </c>
      <c r="G112" s="248"/>
      <c r="H112" s="30"/>
      <c r="I112" s="30"/>
      <c r="J112" s="181" t="s">
        <v>926</v>
      </c>
      <c r="K112" s="182"/>
      <c r="L112" s="182"/>
      <c r="M112" s="183"/>
      <c r="N112" s="30"/>
      <c r="O112" s="30"/>
      <c r="P112" s="30"/>
      <c r="Q112" s="31"/>
      <c r="R112" s="6"/>
      <c r="S112" s="2"/>
    </row>
    <row r="113" spans="1:19" x14ac:dyDescent="0.3">
      <c r="A113" s="2"/>
      <c r="B113" s="81" t="s">
        <v>618</v>
      </c>
      <c r="C113" s="35" t="s">
        <v>619</v>
      </c>
      <c r="D113" s="30"/>
      <c r="E113" s="30"/>
      <c r="F113" s="206" t="s">
        <v>494</v>
      </c>
      <c r="G113" s="210"/>
      <c r="H113" s="30"/>
      <c r="I113" s="30"/>
      <c r="J113" s="187"/>
      <c r="K113" s="188"/>
      <c r="L113" s="188"/>
      <c r="M113" s="189"/>
      <c r="N113" s="30"/>
      <c r="O113" s="30"/>
      <c r="P113" s="30"/>
      <c r="Q113" s="31"/>
      <c r="R113" s="6"/>
      <c r="S113" s="2"/>
    </row>
    <row r="114" spans="1:19" x14ac:dyDescent="0.3">
      <c r="A114" s="2"/>
      <c r="B114" s="83" t="s">
        <v>620</v>
      </c>
      <c r="C114" s="30"/>
      <c r="D114" s="30"/>
      <c r="E114" s="30"/>
      <c r="F114" s="79" t="s">
        <v>760</v>
      </c>
      <c r="G114" s="80" t="s">
        <v>761</v>
      </c>
      <c r="H114" s="30"/>
      <c r="I114" s="30"/>
      <c r="J114" s="261" t="s">
        <v>927</v>
      </c>
      <c r="K114" s="261"/>
      <c r="L114" s="242" t="s">
        <v>932</v>
      </c>
      <c r="M114" s="242"/>
      <c r="N114" s="30"/>
      <c r="O114" s="30"/>
      <c r="P114" s="30"/>
      <c r="Q114" s="31"/>
      <c r="R114" s="6"/>
      <c r="S114" s="2"/>
    </row>
    <row r="115" spans="1:19" x14ac:dyDescent="0.3">
      <c r="A115" s="2"/>
      <c r="B115" s="204" t="s">
        <v>621</v>
      </c>
      <c r="C115" s="204"/>
      <c r="D115" s="204"/>
      <c r="E115" s="204"/>
      <c r="F115" s="81" t="s">
        <v>765</v>
      </c>
      <c r="G115" s="35" t="s">
        <v>766</v>
      </c>
      <c r="H115" s="30"/>
      <c r="I115" s="30"/>
      <c r="J115" s="206" t="s">
        <v>482</v>
      </c>
      <c r="K115" s="210"/>
      <c r="L115" s="206" t="s">
        <v>566</v>
      </c>
      <c r="M115" s="207"/>
      <c r="N115" s="30"/>
      <c r="O115" s="30"/>
      <c r="P115" s="30"/>
      <c r="Q115" s="31"/>
      <c r="R115" s="6"/>
      <c r="S115" s="2"/>
    </row>
    <row r="116" spans="1:19" x14ac:dyDescent="0.3">
      <c r="A116" s="2"/>
      <c r="B116" s="204"/>
      <c r="C116" s="204"/>
      <c r="D116" s="204"/>
      <c r="E116" s="204"/>
      <c r="F116" s="83" t="s">
        <v>763</v>
      </c>
      <c r="G116" s="30"/>
      <c r="H116" s="30"/>
      <c r="I116" s="30"/>
      <c r="J116" s="81" t="s">
        <v>928</v>
      </c>
      <c r="K116" s="31" t="s">
        <v>929</v>
      </c>
      <c r="L116" s="79" t="s">
        <v>933</v>
      </c>
      <c r="M116" s="80" t="s">
        <v>934</v>
      </c>
      <c r="N116" s="30"/>
      <c r="O116" s="30"/>
      <c r="P116" s="30"/>
      <c r="Q116" s="31"/>
      <c r="R116" s="6"/>
      <c r="S116" s="2"/>
    </row>
    <row r="117" spans="1:19" x14ac:dyDescent="0.3">
      <c r="A117" s="2"/>
      <c r="B117" s="222" t="s">
        <v>622</v>
      </c>
      <c r="C117" s="222"/>
      <c r="D117" s="216" t="s">
        <v>629</v>
      </c>
      <c r="E117" s="217"/>
      <c r="F117" s="204" t="s">
        <v>767</v>
      </c>
      <c r="G117" s="204"/>
      <c r="H117" s="204"/>
      <c r="I117" s="204"/>
      <c r="J117" s="82" t="s">
        <v>930</v>
      </c>
      <c r="K117" s="35" t="s">
        <v>931</v>
      </c>
      <c r="L117" s="81" t="s">
        <v>935</v>
      </c>
      <c r="M117" s="31" t="s">
        <v>936</v>
      </c>
      <c r="N117" s="30"/>
      <c r="O117" s="30"/>
      <c r="P117" s="30"/>
      <c r="Q117" s="31"/>
      <c r="R117" s="6"/>
      <c r="S117" s="2"/>
    </row>
    <row r="118" spans="1:19" x14ac:dyDescent="0.3">
      <c r="A118" s="2"/>
      <c r="B118" s="206" t="s">
        <v>566</v>
      </c>
      <c r="C118" s="207"/>
      <c r="D118" s="206" t="s">
        <v>482</v>
      </c>
      <c r="E118" s="210"/>
      <c r="F118" s="204"/>
      <c r="G118" s="204"/>
      <c r="H118" s="204"/>
      <c r="I118" s="204"/>
      <c r="J118" s="30"/>
      <c r="K118" s="30"/>
      <c r="L118" s="82" t="s">
        <v>930</v>
      </c>
      <c r="M118" s="35" t="s">
        <v>937</v>
      </c>
      <c r="N118" s="30"/>
      <c r="O118" s="30"/>
      <c r="P118" s="30"/>
      <c r="Q118" s="31"/>
      <c r="R118" s="6"/>
      <c r="S118" s="2"/>
    </row>
    <row r="119" spans="1:19" x14ac:dyDescent="0.3">
      <c r="A119" s="2"/>
      <c r="B119" s="79" t="s">
        <v>623</v>
      </c>
      <c r="C119" s="80" t="s">
        <v>624</v>
      </c>
      <c r="D119" s="81" t="s">
        <v>630</v>
      </c>
      <c r="E119" s="31" t="s">
        <v>631</v>
      </c>
      <c r="F119" s="211" t="s">
        <v>768</v>
      </c>
      <c r="G119" s="211"/>
      <c r="H119" s="227" t="s">
        <v>772</v>
      </c>
      <c r="I119" s="227"/>
      <c r="J119" s="181" t="s">
        <v>938</v>
      </c>
      <c r="K119" s="182"/>
      <c r="L119" s="182"/>
      <c r="M119" s="183"/>
      <c r="N119" s="30"/>
      <c r="O119" s="30"/>
      <c r="P119" s="30"/>
      <c r="Q119" s="31"/>
      <c r="R119" s="6"/>
      <c r="S119" s="2"/>
    </row>
    <row r="120" spans="1:19" x14ac:dyDescent="0.3">
      <c r="A120" s="2"/>
      <c r="B120" s="81" t="s">
        <v>625</v>
      </c>
      <c r="C120" s="31" t="s">
        <v>626</v>
      </c>
      <c r="D120" s="82" t="s">
        <v>632</v>
      </c>
      <c r="E120" s="35" t="s">
        <v>633</v>
      </c>
      <c r="F120" s="206" t="s">
        <v>488</v>
      </c>
      <c r="G120" s="210"/>
      <c r="H120" s="206" t="s">
        <v>553</v>
      </c>
      <c r="I120" s="207"/>
      <c r="J120" s="187"/>
      <c r="K120" s="188"/>
      <c r="L120" s="188"/>
      <c r="M120" s="189"/>
      <c r="N120" s="30"/>
      <c r="O120" s="30"/>
      <c r="P120" s="30"/>
      <c r="Q120" s="31"/>
      <c r="R120" s="6"/>
      <c r="S120" s="2"/>
    </row>
    <row r="121" spans="1:19" x14ac:dyDescent="0.3">
      <c r="A121" s="2"/>
      <c r="B121" s="82" t="s">
        <v>627</v>
      </c>
      <c r="C121" s="35" t="s">
        <v>628</v>
      </c>
      <c r="D121" s="30"/>
      <c r="E121" s="30"/>
      <c r="F121" s="81" t="s">
        <v>769</v>
      </c>
      <c r="G121" s="31" t="s">
        <v>771</v>
      </c>
      <c r="H121" s="79" t="s">
        <v>773</v>
      </c>
      <c r="I121" s="80" t="s">
        <v>774</v>
      </c>
      <c r="J121" s="259" t="s">
        <v>939</v>
      </c>
      <c r="K121" s="259"/>
      <c r="L121" s="260" t="s">
        <v>946</v>
      </c>
      <c r="M121" s="260"/>
      <c r="N121" s="30"/>
      <c r="O121" s="30"/>
      <c r="P121" s="30"/>
      <c r="Q121" s="31"/>
      <c r="R121" s="6"/>
      <c r="S121" s="2"/>
    </row>
    <row r="122" spans="1:19" x14ac:dyDescent="0.3">
      <c r="A122" s="2"/>
      <c r="B122" s="81"/>
      <c r="C122" s="30"/>
      <c r="D122" s="30"/>
      <c r="E122" s="30"/>
      <c r="F122" s="82" t="s">
        <v>770</v>
      </c>
      <c r="G122" s="79"/>
      <c r="H122" s="81" t="s">
        <v>775</v>
      </c>
      <c r="I122" s="31" t="s">
        <v>776</v>
      </c>
      <c r="J122" s="206" t="s">
        <v>566</v>
      </c>
      <c r="K122" s="207"/>
      <c r="L122" s="206" t="s">
        <v>566</v>
      </c>
      <c r="M122" s="207"/>
      <c r="N122" s="30"/>
      <c r="O122" s="30"/>
      <c r="P122" s="30"/>
      <c r="Q122" s="31"/>
      <c r="R122" s="6"/>
      <c r="S122" s="2"/>
    </row>
    <row r="123" spans="1:19" x14ac:dyDescent="0.3">
      <c r="A123" s="2"/>
      <c r="B123" s="81"/>
      <c r="C123" s="30"/>
      <c r="D123" s="30"/>
      <c r="E123" s="30"/>
      <c r="F123" s="211" t="s">
        <v>780</v>
      </c>
      <c r="G123" s="211"/>
      <c r="H123" s="81" t="s">
        <v>777</v>
      </c>
      <c r="I123" s="35" t="s">
        <v>779</v>
      </c>
      <c r="J123" s="79" t="s">
        <v>940</v>
      </c>
      <c r="K123" s="80" t="s">
        <v>941</v>
      </c>
      <c r="L123" s="79" t="s">
        <v>947</v>
      </c>
      <c r="M123" s="80" t="s">
        <v>948</v>
      </c>
      <c r="N123" s="30"/>
      <c r="O123" s="30"/>
      <c r="P123" s="30"/>
      <c r="Q123" s="31"/>
      <c r="R123" s="6"/>
      <c r="S123" s="2"/>
    </row>
    <row r="124" spans="1:19" x14ac:dyDescent="0.3">
      <c r="A124" s="2"/>
      <c r="B124" s="81"/>
      <c r="C124" s="30"/>
      <c r="D124" s="30"/>
      <c r="E124" s="30"/>
      <c r="F124" s="206" t="s">
        <v>566</v>
      </c>
      <c r="G124" s="207"/>
      <c r="H124" s="83" t="s">
        <v>778</v>
      </c>
      <c r="I124" s="30"/>
      <c r="J124" s="81" t="s">
        <v>942</v>
      </c>
      <c r="K124" s="31" t="s">
        <v>943</v>
      </c>
      <c r="L124" s="81" t="s">
        <v>949</v>
      </c>
      <c r="M124" s="31" t="s">
        <v>950</v>
      </c>
      <c r="N124" s="30"/>
      <c r="O124" s="30"/>
      <c r="P124" s="30"/>
      <c r="Q124" s="31"/>
      <c r="R124" s="6"/>
      <c r="S124" s="2"/>
    </row>
    <row r="125" spans="1:19" x14ac:dyDescent="0.3">
      <c r="A125" s="2"/>
      <c r="B125" s="81"/>
      <c r="C125" s="30"/>
      <c r="D125" s="30"/>
      <c r="E125" s="30"/>
      <c r="F125" s="79" t="s">
        <v>781</v>
      </c>
      <c r="G125" s="80" t="s">
        <v>782</v>
      </c>
      <c r="H125" s="30"/>
      <c r="I125" s="30"/>
      <c r="J125" s="82" t="s">
        <v>944</v>
      </c>
      <c r="K125" s="35" t="s">
        <v>945</v>
      </c>
      <c r="L125" s="82" t="s">
        <v>951</v>
      </c>
      <c r="M125" s="35" t="s">
        <v>952</v>
      </c>
      <c r="N125" s="30"/>
      <c r="O125" s="30"/>
      <c r="P125" s="30"/>
      <c r="Q125" s="31"/>
      <c r="R125" s="6"/>
      <c r="S125" s="2"/>
    </row>
    <row r="126" spans="1:19" x14ac:dyDescent="0.3">
      <c r="A126" s="2"/>
      <c r="B126" s="81"/>
      <c r="C126" s="30"/>
      <c r="D126" s="30"/>
      <c r="E126" s="30"/>
      <c r="F126" s="81" t="s">
        <v>783</v>
      </c>
      <c r="G126" s="31" t="s">
        <v>784</v>
      </c>
      <c r="H126" s="30"/>
      <c r="I126" s="30"/>
      <c r="J126" s="252" t="s">
        <v>953</v>
      </c>
      <c r="K126" s="265"/>
      <c r="L126" s="252" t="s">
        <v>958</v>
      </c>
      <c r="M126" s="265"/>
      <c r="N126" s="30"/>
      <c r="O126" s="30"/>
      <c r="P126" s="30"/>
      <c r="Q126" s="31"/>
      <c r="R126" s="6"/>
      <c r="S126" s="2"/>
    </row>
    <row r="127" spans="1:19" x14ac:dyDescent="0.3">
      <c r="A127" s="2"/>
      <c r="B127" s="81"/>
      <c r="C127" s="30"/>
      <c r="D127" s="30"/>
      <c r="E127" s="30"/>
      <c r="F127" s="82" t="s">
        <v>785</v>
      </c>
      <c r="G127" s="35" t="s">
        <v>786</v>
      </c>
      <c r="H127" s="30"/>
      <c r="I127" s="30"/>
      <c r="J127" s="206" t="s">
        <v>494</v>
      </c>
      <c r="K127" s="210"/>
      <c r="L127" s="206" t="s">
        <v>494</v>
      </c>
      <c r="M127" s="210"/>
      <c r="N127" s="30"/>
      <c r="O127" s="30"/>
      <c r="P127" s="30"/>
      <c r="Q127" s="31"/>
      <c r="R127" s="6"/>
      <c r="S127" s="2"/>
    </row>
    <row r="128" spans="1:19" x14ac:dyDescent="0.3">
      <c r="A128" s="2"/>
      <c r="B128" s="81"/>
      <c r="C128" s="30"/>
      <c r="D128" s="30"/>
      <c r="E128" s="30"/>
      <c r="F128" s="30"/>
      <c r="G128" s="30"/>
      <c r="H128" s="30"/>
      <c r="I128" s="30"/>
      <c r="J128" s="79" t="s">
        <v>954</v>
      </c>
      <c r="K128" s="80" t="s">
        <v>955</v>
      </c>
      <c r="L128" s="79" t="s">
        <v>940</v>
      </c>
      <c r="M128" s="80" t="s">
        <v>947</v>
      </c>
      <c r="N128" s="30"/>
      <c r="O128" s="30"/>
      <c r="P128" s="30"/>
      <c r="Q128" s="31"/>
      <c r="R128" s="6"/>
      <c r="S128" s="2"/>
    </row>
    <row r="129" spans="1:19" x14ac:dyDescent="0.3">
      <c r="A129" s="2"/>
      <c r="B129" s="81"/>
      <c r="C129" s="30"/>
      <c r="D129" s="30"/>
      <c r="E129" s="30"/>
      <c r="F129" s="30"/>
      <c r="G129" s="30"/>
      <c r="H129" s="30"/>
      <c r="I129" s="30"/>
      <c r="J129" s="81" t="s">
        <v>956</v>
      </c>
      <c r="K129" s="35" t="s">
        <v>957</v>
      </c>
      <c r="L129" s="81" t="s">
        <v>941</v>
      </c>
      <c r="M129" s="35" t="s">
        <v>948</v>
      </c>
      <c r="N129" s="30"/>
      <c r="O129" s="30"/>
      <c r="P129" s="30"/>
      <c r="Q129" s="31"/>
      <c r="R129" s="6"/>
      <c r="S129" s="2"/>
    </row>
    <row r="130" spans="1:19" x14ac:dyDescent="0.3">
      <c r="A130" s="2"/>
      <c r="B130" s="12"/>
      <c r="C130" s="14"/>
      <c r="D130" s="14"/>
      <c r="E130" s="14"/>
      <c r="F130" s="14"/>
      <c r="G130" s="14"/>
      <c r="H130" s="14"/>
      <c r="I130" s="14"/>
      <c r="J130" s="83" t="s">
        <v>942</v>
      </c>
      <c r="K130" s="30"/>
      <c r="L130" s="83" t="s">
        <v>959</v>
      </c>
      <c r="M130" s="30"/>
      <c r="N130" s="14"/>
      <c r="O130" s="14"/>
      <c r="P130" s="14"/>
      <c r="Q130" s="15"/>
      <c r="R130" s="6"/>
      <c r="S130" s="2"/>
    </row>
    <row r="131" spans="1:19" x14ac:dyDescent="0.3">
      <c r="A131" s="2"/>
      <c r="B131" s="16"/>
      <c r="C131" s="17"/>
      <c r="D131" s="17"/>
      <c r="E131" s="17"/>
      <c r="F131" s="17"/>
      <c r="G131" s="17"/>
      <c r="H131" s="17"/>
      <c r="I131" s="17"/>
      <c r="J131" s="14"/>
      <c r="K131" s="14"/>
      <c r="L131" s="14"/>
      <c r="M131" s="14"/>
      <c r="N131" s="17"/>
      <c r="O131" s="17"/>
      <c r="P131" s="17"/>
      <c r="Q131" s="18"/>
      <c r="R131" s="6"/>
      <c r="S131" s="2"/>
    </row>
    <row r="132" spans="1:19" x14ac:dyDescent="0.3">
      <c r="A132" s="2"/>
      <c r="B132" s="2"/>
      <c r="C132" s="2"/>
      <c r="D132" s="2"/>
      <c r="E132" s="2"/>
      <c r="F132" s="2"/>
      <c r="G132" s="2"/>
      <c r="H132" s="2"/>
      <c r="I132" s="2"/>
      <c r="J132" s="4"/>
      <c r="K132" s="4"/>
      <c r="L132" s="4"/>
      <c r="M132" s="4"/>
      <c r="N132" s="2"/>
      <c r="O132" s="2"/>
      <c r="P132" s="2"/>
      <c r="Q132" s="2"/>
      <c r="R132" s="2"/>
      <c r="S132" s="2"/>
    </row>
    <row r="133" spans="1:19" x14ac:dyDescent="0.3">
      <c r="A133" s="2"/>
      <c r="B133" s="2"/>
      <c r="C133" s="2"/>
      <c r="D133" s="2"/>
      <c r="E133" s="2"/>
      <c r="F133" s="2"/>
      <c r="G133" s="2"/>
      <c r="H133" s="2"/>
      <c r="I133" s="2"/>
      <c r="J133" s="2"/>
      <c r="K133" s="2"/>
      <c r="L133" s="2"/>
      <c r="M133" s="2"/>
      <c r="N133" s="2"/>
      <c r="O133" s="2"/>
      <c r="P133" s="2"/>
      <c r="Q133" s="2"/>
      <c r="R133" s="2"/>
      <c r="S133" s="2"/>
    </row>
    <row r="134" spans="1:19" x14ac:dyDescent="0.3">
      <c r="A134" s="2"/>
      <c r="B134" s="2"/>
      <c r="C134" s="2"/>
      <c r="D134" s="2"/>
      <c r="E134" s="2"/>
      <c r="F134" s="2"/>
      <c r="G134" s="2"/>
      <c r="H134" s="2"/>
      <c r="I134" s="2"/>
      <c r="J134" s="2"/>
      <c r="K134" s="2"/>
      <c r="L134" s="2"/>
      <c r="M134" s="2"/>
      <c r="N134" s="2"/>
      <c r="O134" s="2"/>
      <c r="P134" s="2"/>
      <c r="Q134" s="2"/>
      <c r="R134" s="2"/>
      <c r="S134" s="2"/>
    </row>
    <row r="135" spans="1:19" x14ac:dyDescent="0.3">
      <c r="A135" s="2"/>
      <c r="B135" s="181" t="s">
        <v>1099</v>
      </c>
      <c r="C135" s="182"/>
      <c r="D135" s="182"/>
      <c r="E135" s="182"/>
      <c r="F135" s="182"/>
      <c r="G135" s="182"/>
      <c r="H135" s="182"/>
      <c r="I135" s="182"/>
      <c r="J135" s="182"/>
      <c r="K135" s="182"/>
      <c r="L135" s="182"/>
      <c r="M135" s="182"/>
      <c r="N135" s="182"/>
      <c r="O135" s="182"/>
      <c r="P135" s="182"/>
      <c r="Q135" s="36"/>
      <c r="R135" s="40"/>
      <c r="S135" s="40"/>
    </row>
    <row r="136" spans="1:19" x14ac:dyDescent="0.3">
      <c r="A136" s="2"/>
      <c r="B136" s="184"/>
      <c r="C136" s="185"/>
      <c r="D136" s="185"/>
      <c r="E136" s="185"/>
      <c r="F136" s="185"/>
      <c r="G136" s="185"/>
      <c r="H136" s="185"/>
      <c r="I136" s="185"/>
      <c r="J136" s="185"/>
      <c r="K136" s="185"/>
      <c r="L136" s="185"/>
      <c r="M136" s="185"/>
      <c r="N136" s="185"/>
      <c r="O136" s="185"/>
      <c r="P136" s="185"/>
      <c r="Q136" s="36"/>
      <c r="R136" s="40"/>
      <c r="S136" s="40"/>
    </row>
    <row r="137" spans="1:19" x14ac:dyDescent="0.3">
      <c r="A137" s="2"/>
      <c r="B137" s="187"/>
      <c r="C137" s="188"/>
      <c r="D137" s="188"/>
      <c r="E137" s="188"/>
      <c r="F137" s="188"/>
      <c r="G137" s="188"/>
      <c r="H137" s="188"/>
      <c r="I137" s="188"/>
      <c r="J137" s="188"/>
      <c r="K137" s="188"/>
      <c r="L137" s="188"/>
      <c r="M137" s="188"/>
      <c r="N137" s="188"/>
      <c r="O137" s="188"/>
      <c r="P137" s="188"/>
      <c r="Q137" s="36"/>
      <c r="R137" s="40"/>
      <c r="S137" s="40"/>
    </row>
    <row r="138" spans="1:19" x14ac:dyDescent="0.3">
      <c r="A138" s="2"/>
      <c r="B138" s="67"/>
      <c r="C138" s="67"/>
      <c r="D138" s="67"/>
      <c r="E138" s="67"/>
      <c r="F138" s="67"/>
      <c r="G138" s="67"/>
      <c r="H138" s="67"/>
      <c r="I138" s="67"/>
      <c r="J138" s="67"/>
      <c r="K138" s="67"/>
      <c r="L138" s="67"/>
      <c r="M138" s="67"/>
      <c r="N138" s="67"/>
      <c r="O138" s="67"/>
      <c r="P138" s="67"/>
      <c r="Q138" s="40"/>
      <c r="R138" s="40"/>
      <c r="S138" s="40"/>
    </row>
    <row r="139" spans="1:19" x14ac:dyDescent="0.3">
      <c r="A139" s="2"/>
      <c r="B139" s="67"/>
      <c r="C139" s="67"/>
      <c r="D139" s="67"/>
      <c r="E139" s="67"/>
      <c r="F139" s="67"/>
      <c r="G139" s="67"/>
      <c r="H139" s="67"/>
      <c r="I139" s="67"/>
      <c r="J139" s="67"/>
      <c r="K139" s="67"/>
      <c r="L139" s="67"/>
      <c r="M139" s="67"/>
      <c r="N139" s="67"/>
      <c r="O139" s="67"/>
      <c r="P139" s="67"/>
      <c r="Q139" s="40"/>
      <c r="R139" s="40"/>
      <c r="S139" s="40"/>
    </row>
    <row r="140" spans="1:19" ht="28.8" customHeight="1" x14ac:dyDescent="0.3">
      <c r="A140" s="2"/>
      <c r="B140" s="92" t="s">
        <v>1100</v>
      </c>
      <c r="C140" s="93" t="s">
        <v>1101</v>
      </c>
      <c r="D140" s="93" t="s">
        <v>1121</v>
      </c>
      <c r="E140" s="93" t="s">
        <v>1102</v>
      </c>
      <c r="F140" s="93" t="s">
        <v>1103</v>
      </c>
      <c r="G140" s="93" t="s">
        <v>1104</v>
      </c>
      <c r="H140" s="94" t="s">
        <v>1107</v>
      </c>
      <c r="I140" s="41"/>
      <c r="J140" s="41"/>
      <c r="K140" s="2"/>
      <c r="L140" s="51" t="s">
        <v>1121</v>
      </c>
      <c r="M140" s="51" t="s">
        <v>1120</v>
      </c>
      <c r="N140" s="51" t="s">
        <v>1122</v>
      </c>
      <c r="O140" s="51" t="s">
        <v>1123</v>
      </c>
      <c r="P140" s="51" t="s">
        <v>1124</v>
      </c>
      <c r="Q140" s="96" t="s">
        <v>1125</v>
      </c>
      <c r="R140" s="2"/>
      <c r="S140" s="2"/>
    </row>
    <row r="141" spans="1:19" x14ac:dyDescent="0.3">
      <c r="A141" s="2"/>
      <c r="B141" s="91" t="s">
        <v>768</v>
      </c>
      <c r="C141" s="89">
        <v>22</v>
      </c>
      <c r="D141" s="91">
        <v>3</v>
      </c>
      <c r="E141" s="91" t="s">
        <v>769</v>
      </c>
      <c r="F141" s="91" t="s">
        <v>770</v>
      </c>
      <c r="G141" s="91">
        <f>AVERAGE(14,15,17)</f>
        <v>15.333333333333334</v>
      </c>
      <c r="H141" s="91">
        <f t="shared" ref="H141:H172" si="0">_xlfn.RANK.EQ($G141,$G$141:$G$244,1)</f>
        <v>104</v>
      </c>
      <c r="I141" s="99"/>
      <c r="J141" s="99"/>
      <c r="K141" s="2"/>
      <c r="L141" s="95">
        <v>3</v>
      </c>
      <c r="M141" s="97">
        <f>COUNTIF($D$141:$D$244,3)</f>
        <v>12</v>
      </c>
      <c r="N141" s="95" t="s">
        <v>1126</v>
      </c>
      <c r="O141" s="37" t="s">
        <v>1132</v>
      </c>
      <c r="P141" s="95">
        <f>AVERAGE($G$141:$G$152)</f>
        <v>7.6666666666666652</v>
      </c>
      <c r="Q141" s="95">
        <f>_xlfn.RANK.EQ($P141,$P$141:$P$146,1)</f>
        <v>6</v>
      </c>
      <c r="R141" s="2"/>
      <c r="S141" s="2"/>
    </row>
    <row r="142" spans="1:19" ht="28.8" x14ac:dyDescent="0.3">
      <c r="A142" s="2"/>
      <c r="B142" s="91" t="s">
        <v>687</v>
      </c>
      <c r="C142" s="90">
        <v>16</v>
      </c>
      <c r="D142" s="91">
        <v>3</v>
      </c>
      <c r="E142" s="91" t="s">
        <v>688</v>
      </c>
      <c r="F142" s="91" t="s">
        <v>690</v>
      </c>
      <c r="G142" s="91">
        <f>AVERAGE(12,13,14)</f>
        <v>13</v>
      </c>
      <c r="H142" s="91">
        <f t="shared" si="0"/>
        <v>102</v>
      </c>
      <c r="I142" s="99"/>
      <c r="J142" s="99"/>
      <c r="K142" s="2"/>
      <c r="L142" s="95">
        <v>4</v>
      </c>
      <c r="M142" s="98">
        <f>COUNTIF($D$141:$D$244,4)</f>
        <v>27</v>
      </c>
      <c r="N142" s="37" t="s">
        <v>1127</v>
      </c>
      <c r="O142" s="37" t="s">
        <v>1133</v>
      </c>
      <c r="P142" s="95">
        <f>AVERAGE($G$153:$G$179)</f>
        <v>6.1851851851851851</v>
      </c>
      <c r="Q142" s="95">
        <f t="shared" ref="Q142:Q146" si="1">_xlfn.RANK.EQ($P142,$P$141:$P$146,1)</f>
        <v>1</v>
      </c>
      <c r="R142" s="2"/>
      <c r="S142" s="2"/>
    </row>
    <row r="143" spans="1:19" ht="51.6" customHeight="1" x14ac:dyDescent="0.3">
      <c r="A143" s="2"/>
      <c r="B143" s="91" t="s">
        <v>755</v>
      </c>
      <c r="C143" s="90">
        <v>21</v>
      </c>
      <c r="D143" s="91">
        <v>3</v>
      </c>
      <c r="E143" s="91" t="s">
        <v>756</v>
      </c>
      <c r="F143" s="91" t="s">
        <v>758</v>
      </c>
      <c r="G143" s="91">
        <f>AVERAGE(5,11,13)</f>
        <v>9.6666666666666661</v>
      </c>
      <c r="H143" s="91">
        <f t="shared" si="0"/>
        <v>90</v>
      </c>
      <c r="I143" s="99"/>
      <c r="J143" s="99"/>
      <c r="K143" s="2"/>
      <c r="L143" s="95">
        <v>5</v>
      </c>
      <c r="M143" s="98">
        <f>COUNTIF($D$141:$D$244,5)</f>
        <v>31</v>
      </c>
      <c r="N143" s="37" t="s">
        <v>1128</v>
      </c>
      <c r="O143" s="37" t="s">
        <v>1134</v>
      </c>
      <c r="P143" s="95">
        <f>AVERAGE($G$180:$G$209)</f>
        <v>6.3933333333333326</v>
      </c>
      <c r="Q143" s="95">
        <f t="shared" si="1"/>
        <v>3</v>
      </c>
      <c r="R143" s="2"/>
      <c r="S143" s="2"/>
    </row>
    <row r="144" spans="1:19" x14ac:dyDescent="0.3">
      <c r="A144" s="2"/>
      <c r="B144" s="91" t="s">
        <v>1049</v>
      </c>
      <c r="C144" s="90">
        <v>41</v>
      </c>
      <c r="D144" s="91">
        <v>3</v>
      </c>
      <c r="E144" s="91" t="s">
        <v>1050</v>
      </c>
      <c r="F144" s="91" t="s">
        <v>1052</v>
      </c>
      <c r="G144" s="91">
        <f>AVERAGE(7,9,11)</f>
        <v>9</v>
      </c>
      <c r="H144" s="91">
        <f t="shared" si="0"/>
        <v>85</v>
      </c>
      <c r="I144" s="99"/>
      <c r="J144" s="99"/>
      <c r="K144" s="2"/>
      <c r="L144" s="95">
        <v>6</v>
      </c>
      <c r="M144" s="98">
        <f>COUNTIF($D$141:$D$244,6)</f>
        <v>20</v>
      </c>
      <c r="N144" s="95" t="s">
        <v>1129</v>
      </c>
      <c r="O144" s="37" t="s">
        <v>1135</v>
      </c>
      <c r="P144" s="95">
        <f>AVERAGE($G$211:$G$230)</f>
        <v>7.1416666666666657</v>
      </c>
      <c r="Q144" s="95">
        <f t="shared" si="1"/>
        <v>5</v>
      </c>
      <c r="R144" s="2"/>
      <c r="S144" s="2"/>
    </row>
    <row r="145" spans="1:19" x14ac:dyDescent="0.3">
      <c r="A145" s="2"/>
      <c r="B145" s="91" t="s">
        <v>825</v>
      </c>
      <c r="C145" s="90">
        <v>25</v>
      </c>
      <c r="D145" s="91">
        <v>3</v>
      </c>
      <c r="E145" s="91" t="s">
        <v>826</v>
      </c>
      <c r="F145" s="91" t="s">
        <v>827</v>
      </c>
      <c r="G145" s="91">
        <f>AVERAGE(6,7,10)</f>
        <v>7.666666666666667</v>
      </c>
      <c r="H145" s="91">
        <f t="shared" si="0"/>
        <v>72</v>
      </c>
      <c r="I145" s="99"/>
      <c r="J145" s="99"/>
      <c r="K145" s="2"/>
      <c r="L145" s="95">
        <v>7</v>
      </c>
      <c r="M145" s="98">
        <f>COUNTIF($D$141:$D$244,7)</f>
        <v>11</v>
      </c>
      <c r="N145" s="95" t="s">
        <v>1130</v>
      </c>
      <c r="O145" s="37" t="s">
        <v>1137</v>
      </c>
      <c r="P145" s="95">
        <f>AVERAGE($G$231:$G$241)</f>
        <v>6.3766233766233773</v>
      </c>
      <c r="Q145" s="95">
        <f t="shared" si="1"/>
        <v>2</v>
      </c>
      <c r="R145" s="2"/>
      <c r="S145" s="2"/>
    </row>
    <row r="146" spans="1:19" x14ac:dyDescent="0.3">
      <c r="A146" s="2"/>
      <c r="B146" s="91" t="s">
        <v>487</v>
      </c>
      <c r="C146" s="90">
        <v>1</v>
      </c>
      <c r="D146" s="91">
        <v>3</v>
      </c>
      <c r="E146" s="91" t="s">
        <v>489</v>
      </c>
      <c r="F146" s="91" t="s">
        <v>491</v>
      </c>
      <c r="G146" s="91">
        <f>AVERAGE(6,7,8)</f>
        <v>7</v>
      </c>
      <c r="H146" s="91">
        <f t="shared" si="0"/>
        <v>58</v>
      </c>
      <c r="I146" s="99"/>
      <c r="J146" s="99"/>
      <c r="K146" s="2"/>
      <c r="L146" s="95">
        <v>8</v>
      </c>
      <c r="M146" s="98">
        <f>COUNTIF($D$141:$D$244,8)</f>
        <v>3</v>
      </c>
      <c r="N146" s="95" t="s">
        <v>1131</v>
      </c>
      <c r="O146" s="37" t="s">
        <v>1136</v>
      </c>
      <c r="P146" s="95">
        <f>AVERAGE($G$242:$G$244)</f>
        <v>7.083333333333333</v>
      </c>
      <c r="Q146" s="95">
        <f t="shared" si="1"/>
        <v>4</v>
      </c>
      <c r="R146" s="2"/>
      <c r="S146" s="2"/>
    </row>
    <row r="147" spans="1:19" x14ac:dyDescent="0.3">
      <c r="A147" s="2"/>
      <c r="B147" s="91" t="s">
        <v>677</v>
      </c>
      <c r="C147" s="90">
        <v>15</v>
      </c>
      <c r="D147" s="91">
        <v>3</v>
      </c>
      <c r="E147" s="91" t="s">
        <v>678</v>
      </c>
      <c r="F147" s="91" t="s">
        <v>680</v>
      </c>
      <c r="G147" s="91">
        <f>AVERAGE(5,6,10)</f>
        <v>7</v>
      </c>
      <c r="H147" s="91">
        <f t="shared" si="0"/>
        <v>58</v>
      </c>
      <c r="I147" s="2"/>
      <c r="J147" s="2"/>
      <c r="K147" s="2"/>
      <c r="L147" s="2"/>
      <c r="M147" s="2"/>
      <c r="N147" s="2"/>
      <c r="O147" s="2"/>
      <c r="P147" s="2"/>
      <c r="Q147" s="2"/>
      <c r="R147" s="2"/>
      <c r="S147" s="2"/>
    </row>
    <row r="148" spans="1:19" x14ac:dyDescent="0.3">
      <c r="A148" s="2"/>
      <c r="B148" s="91" t="s">
        <v>828</v>
      </c>
      <c r="C148" s="90">
        <v>25</v>
      </c>
      <c r="D148" s="91">
        <v>3</v>
      </c>
      <c r="E148" s="91" t="s">
        <v>829</v>
      </c>
      <c r="F148" s="91" t="s">
        <v>831</v>
      </c>
      <c r="G148" s="91">
        <f>AVERAGE(1,4,16)</f>
        <v>7</v>
      </c>
      <c r="H148" s="91">
        <f t="shared" si="0"/>
        <v>58</v>
      </c>
      <c r="I148" s="2"/>
      <c r="J148" s="2"/>
      <c r="K148" s="2"/>
      <c r="L148" s="2"/>
      <c r="M148" s="2"/>
      <c r="N148" s="2"/>
      <c r="O148" s="2"/>
      <c r="P148" s="2"/>
      <c r="Q148" s="2"/>
      <c r="R148" s="2"/>
      <c r="S148" s="2"/>
    </row>
    <row r="149" spans="1:19" x14ac:dyDescent="0.3">
      <c r="A149" s="2"/>
      <c r="B149" s="91" t="s">
        <v>715</v>
      </c>
      <c r="C149" s="90">
        <v>18</v>
      </c>
      <c r="D149" s="91">
        <v>3</v>
      </c>
      <c r="E149" s="91" t="s">
        <v>716</v>
      </c>
      <c r="F149" s="91" t="s">
        <v>718</v>
      </c>
      <c r="G149" s="91">
        <f>AVERAGE(5,6,8)</f>
        <v>6.333333333333333</v>
      </c>
      <c r="H149" s="91">
        <f t="shared" si="0"/>
        <v>49</v>
      </c>
      <c r="I149" s="2"/>
      <c r="J149" s="134" t="s">
        <v>1121</v>
      </c>
      <c r="K149" s="105" t="s">
        <v>1138</v>
      </c>
      <c r="L149" s="2"/>
      <c r="M149" s="2"/>
      <c r="N149" s="104" t="s">
        <v>1100</v>
      </c>
      <c r="O149" s="101" t="s">
        <v>1141</v>
      </c>
      <c r="P149" s="2"/>
      <c r="Q149" s="2"/>
      <c r="R149" s="2"/>
      <c r="S149" s="2"/>
    </row>
    <row r="150" spans="1:19" x14ac:dyDescent="0.3">
      <c r="A150" s="2"/>
      <c r="B150" s="91" t="s">
        <v>839</v>
      </c>
      <c r="C150" s="90">
        <v>25</v>
      </c>
      <c r="D150" s="91">
        <v>3</v>
      </c>
      <c r="E150" s="91" t="s">
        <v>1117</v>
      </c>
      <c r="F150" s="91" t="s">
        <v>838</v>
      </c>
      <c r="G150" s="91">
        <f>AVERAGE(2,2,11)</f>
        <v>5</v>
      </c>
      <c r="H150" s="91">
        <f t="shared" si="0"/>
        <v>35</v>
      </c>
      <c r="I150" s="2"/>
      <c r="J150" s="100">
        <v>3</v>
      </c>
      <c r="K150" s="113">
        <v>12</v>
      </c>
      <c r="L150" s="2"/>
      <c r="M150" s="2"/>
      <c r="N150" s="115" t="s">
        <v>768</v>
      </c>
      <c r="O150" s="112">
        <v>15.333333333333334</v>
      </c>
      <c r="P150" s="2"/>
      <c r="Q150" s="2"/>
      <c r="R150" s="2"/>
      <c r="S150" s="2"/>
    </row>
    <row r="151" spans="1:19" x14ac:dyDescent="0.3">
      <c r="A151" s="2"/>
      <c r="B151" s="91" t="s">
        <v>1093</v>
      </c>
      <c r="C151" s="90">
        <v>44</v>
      </c>
      <c r="D151" s="91">
        <v>3</v>
      </c>
      <c r="E151" s="91" t="s">
        <v>1094</v>
      </c>
      <c r="F151" s="91" t="s">
        <v>1096</v>
      </c>
      <c r="G151" s="91">
        <f>AVERAGE(1,3,4)</f>
        <v>2.6666666666666665</v>
      </c>
      <c r="H151" s="91">
        <f t="shared" si="0"/>
        <v>5</v>
      </c>
      <c r="I151" s="2"/>
      <c r="J151" s="100">
        <v>4</v>
      </c>
      <c r="K151" s="113">
        <v>27</v>
      </c>
      <c r="L151" s="2"/>
      <c r="M151" s="2"/>
      <c r="N151" s="116" t="s">
        <v>810</v>
      </c>
      <c r="O151" s="113">
        <v>13</v>
      </c>
      <c r="P151" s="2"/>
      <c r="Q151" s="2"/>
      <c r="R151" s="2"/>
      <c r="S151" s="2"/>
    </row>
    <row r="152" spans="1:19" x14ac:dyDescent="0.3">
      <c r="A152" s="2"/>
      <c r="B152" s="91" t="s">
        <v>711</v>
      </c>
      <c r="C152" s="90">
        <v>18</v>
      </c>
      <c r="D152" s="91">
        <v>3</v>
      </c>
      <c r="E152" s="91" t="s">
        <v>712</v>
      </c>
      <c r="F152" s="91" t="s">
        <v>714</v>
      </c>
      <c r="G152" s="91">
        <f>AVERAGE(1,2,4)</f>
        <v>2.3333333333333335</v>
      </c>
      <c r="H152" s="91">
        <f t="shared" si="0"/>
        <v>1</v>
      </c>
      <c r="I152" s="2"/>
      <c r="J152" s="100">
        <v>5</v>
      </c>
      <c r="K152" s="113">
        <v>31</v>
      </c>
      <c r="L152" s="2"/>
      <c r="M152" s="2"/>
      <c r="N152" s="116" t="s">
        <v>687</v>
      </c>
      <c r="O152" s="113">
        <v>13</v>
      </c>
      <c r="P152" s="2"/>
      <c r="Q152" s="2"/>
      <c r="R152" s="2"/>
      <c r="S152" s="2"/>
    </row>
    <row r="153" spans="1:19" x14ac:dyDescent="0.3">
      <c r="A153" s="2"/>
      <c r="B153" s="91" t="s">
        <v>810</v>
      </c>
      <c r="C153" s="90">
        <v>24</v>
      </c>
      <c r="D153" s="91">
        <v>4</v>
      </c>
      <c r="E153" s="91" t="s">
        <v>811</v>
      </c>
      <c r="F153" s="91" t="s">
        <v>1116</v>
      </c>
      <c r="G153" s="91">
        <f>AVERAGE(10,11,15,16)</f>
        <v>13</v>
      </c>
      <c r="H153" s="91">
        <f t="shared" si="0"/>
        <v>102</v>
      </c>
      <c r="I153" s="2"/>
      <c r="J153" s="100">
        <v>6</v>
      </c>
      <c r="K153" s="113">
        <v>20</v>
      </c>
      <c r="L153" s="2"/>
      <c r="M153" s="2"/>
      <c r="N153" s="116" t="s">
        <v>851</v>
      </c>
      <c r="O153" s="113">
        <v>12.166666666666666</v>
      </c>
      <c r="P153" s="2"/>
      <c r="Q153" s="2"/>
      <c r="R153" s="2"/>
      <c r="S153" s="2"/>
    </row>
    <row r="154" spans="1:19" x14ac:dyDescent="0.3">
      <c r="A154" s="2"/>
      <c r="B154" s="91" t="s">
        <v>513</v>
      </c>
      <c r="C154" s="90">
        <v>3</v>
      </c>
      <c r="D154" s="91">
        <v>4</v>
      </c>
      <c r="E154" s="91" t="s">
        <v>514</v>
      </c>
      <c r="F154" s="91" t="s">
        <v>516</v>
      </c>
      <c r="G154" s="91">
        <f>AVERAGE(5,7,13,14)</f>
        <v>9.75</v>
      </c>
      <c r="H154" s="91">
        <f t="shared" si="0"/>
        <v>91</v>
      </c>
      <c r="I154" s="2"/>
      <c r="J154" s="100">
        <v>7</v>
      </c>
      <c r="K154" s="113">
        <v>11</v>
      </c>
      <c r="L154" s="2"/>
      <c r="M154" s="2"/>
      <c r="N154" s="116" t="s">
        <v>1118</v>
      </c>
      <c r="O154" s="113">
        <v>11.6</v>
      </c>
      <c r="P154" s="2"/>
      <c r="Q154" s="2"/>
      <c r="R154" s="2"/>
      <c r="S154" s="2"/>
    </row>
    <row r="155" spans="1:19" x14ac:dyDescent="0.3">
      <c r="A155" s="2"/>
      <c r="B155" s="91" t="s">
        <v>517</v>
      </c>
      <c r="C155" s="90">
        <v>3</v>
      </c>
      <c r="D155" s="91">
        <v>4</v>
      </c>
      <c r="E155" s="91" t="s">
        <v>519</v>
      </c>
      <c r="F155" s="91" t="s">
        <v>522</v>
      </c>
      <c r="G155" s="91">
        <f>AVERAGE(6,8,11,12)</f>
        <v>9.25</v>
      </c>
      <c r="H155" s="91">
        <f t="shared" si="0"/>
        <v>87</v>
      </c>
      <c r="I155" s="2"/>
      <c r="J155" s="100">
        <v>8</v>
      </c>
      <c r="K155" s="113">
        <v>3</v>
      </c>
      <c r="L155" s="2"/>
      <c r="M155" s="2"/>
      <c r="N155" s="116" t="s">
        <v>946</v>
      </c>
      <c r="O155" s="113">
        <v>11.333333333333334</v>
      </c>
      <c r="P155" s="2"/>
      <c r="Q155" s="2"/>
      <c r="R155" s="2"/>
      <c r="S155" s="2"/>
    </row>
    <row r="156" spans="1:19" x14ac:dyDescent="0.3">
      <c r="A156" s="2"/>
      <c r="B156" s="91" t="s">
        <v>629</v>
      </c>
      <c r="C156" s="90">
        <v>11</v>
      </c>
      <c r="D156" s="91">
        <v>4</v>
      </c>
      <c r="E156" s="91" t="s">
        <v>630</v>
      </c>
      <c r="F156" s="91" t="s">
        <v>633</v>
      </c>
      <c r="G156" s="91">
        <f>AVERAGE(1,9,10,14)</f>
        <v>8.5</v>
      </c>
      <c r="H156" s="91">
        <f t="shared" si="0"/>
        <v>82</v>
      </c>
      <c r="I156" s="2"/>
      <c r="J156" s="102" t="s">
        <v>1139</v>
      </c>
      <c r="K156" s="114">
        <v>104</v>
      </c>
      <c r="L156" s="2"/>
      <c r="M156" s="2"/>
      <c r="N156" s="116" t="s">
        <v>939</v>
      </c>
      <c r="O156" s="113">
        <v>11.333333333333334</v>
      </c>
      <c r="P156" s="2"/>
      <c r="Q156" s="2"/>
      <c r="R156" s="2"/>
      <c r="S156" s="2"/>
    </row>
    <row r="157" spans="1:19" x14ac:dyDescent="0.3">
      <c r="A157" s="2"/>
      <c r="B157" s="91" t="s">
        <v>921</v>
      </c>
      <c r="C157" s="90">
        <v>31</v>
      </c>
      <c r="D157" s="91">
        <v>4</v>
      </c>
      <c r="E157" s="91" t="s">
        <v>922</v>
      </c>
      <c r="F157" s="91" t="s">
        <v>925</v>
      </c>
      <c r="G157" s="91">
        <f>AVERAGE(4,7,10,13)</f>
        <v>8.5</v>
      </c>
      <c r="H157" s="91">
        <f t="shared" si="0"/>
        <v>82</v>
      </c>
      <c r="I157" s="2"/>
      <c r="J157" s="2"/>
      <c r="K157" s="2"/>
      <c r="L157" s="2"/>
      <c r="M157" s="2"/>
      <c r="N157" s="116" t="s">
        <v>859</v>
      </c>
      <c r="O157" s="113">
        <v>11.2</v>
      </c>
      <c r="P157" s="2"/>
      <c r="Q157" s="2"/>
      <c r="R157" s="2"/>
      <c r="S157" s="2"/>
    </row>
    <row r="158" spans="1:19" x14ac:dyDescent="0.3">
      <c r="A158" s="2"/>
      <c r="B158" s="91" t="s">
        <v>594</v>
      </c>
      <c r="C158" s="90">
        <v>8</v>
      </c>
      <c r="D158" s="91">
        <v>4</v>
      </c>
      <c r="E158" s="91" t="s">
        <v>595</v>
      </c>
      <c r="F158" s="91" t="s">
        <v>598</v>
      </c>
      <c r="G158" s="91">
        <f>AVERAGE(6,8,9,10)</f>
        <v>8.25</v>
      </c>
      <c r="H158" s="91">
        <f t="shared" si="0"/>
        <v>79</v>
      </c>
      <c r="I158" s="2"/>
      <c r="J158" s="2"/>
      <c r="K158" s="2"/>
      <c r="L158" s="2"/>
      <c r="M158" s="2"/>
      <c r="N158" s="116" t="s">
        <v>888</v>
      </c>
      <c r="O158" s="113">
        <v>11.2</v>
      </c>
      <c r="P158" s="2"/>
      <c r="Q158" s="2"/>
      <c r="R158" s="2"/>
      <c r="S158" s="2"/>
    </row>
    <row r="159" spans="1:19" x14ac:dyDescent="0.3">
      <c r="A159" s="2"/>
      <c r="B159" s="91" t="s">
        <v>641</v>
      </c>
      <c r="C159" s="90">
        <v>12</v>
      </c>
      <c r="D159" s="91">
        <v>4</v>
      </c>
      <c r="E159" s="91" t="s">
        <v>1113</v>
      </c>
      <c r="F159" s="91" t="s">
        <v>644</v>
      </c>
      <c r="G159" s="91">
        <f>AVERAGE(3,9,10,11)</f>
        <v>8.25</v>
      </c>
      <c r="H159" s="91">
        <f t="shared" si="0"/>
        <v>79</v>
      </c>
      <c r="I159" s="2"/>
      <c r="J159" s="104" t="s">
        <v>1121</v>
      </c>
      <c r="K159" s="105" t="s">
        <v>1140</v>
      </c>
      <c r="L159" s="2"/>
      <c r="M159" s="2"/>
      <c r="N159" s="116" t="s">
        <v>738</v>
      </c>
      <c r="O159" s="113">
        <v>10.666666666666666</v>
      </c>
      <c r="P159" s="2"/>
      <c r="Q159" s="2"/>
      <c r="R159" s="2"/>
      <c r="S159" s="2"/>
    </row>
    <row r="160" spans="1:19" x14ac:dyDescent="0.3">
      <c r="A160" s="2"/>
      <c r="B160" s="91" t="s">
        <v>907</v>
      </c>
      <c r="C160" s="90">
        <v>30</v>
      </c>
      <c r="D160" s="91">
        <v>4</v>
      </c>
      <c r="E160" s="91" t="s">
        <v>908</v>
      </c>
      <c r="F160" s="91" t="s">
        <v>911</v>
      </c>
      <c r="G160" s="91">
        <f>AVERAGE(3,9,10,11)</f>
        <v>8.25</v>
      </c>
      <c r="H160" s="91">
        <f t="shared" si="0"/>
        <v>79</v>
      </c>
      <c r="I160" s="2"/>
      <c r="J160" s="115">
        <v>3</v>
      </c>
      <c r="K160" s="112">
        <v>7.6666666666666652</v>
      </c>
      <c r="L160" s="2"/>
      <c r="M160" s="2"/>
      <c r="N160" s="116" t="s">
        <v>1036</v>
      </c>
      <c r="O160" s="113">
        <v>10.199999999999999</v>
      </c>
      <c r="P160" s="2"/>
      <c r="Q160" s="2"/>
      <c r="R160" s="2"/>
      <c r="S160" s="2"/>
    </row>
    <row r="161" spans="1:19" x14ac:dyDescent="0.3">
      <c r="A161" s="2"/>
      <c r="B161" s="91" t="s">
        <v>1072</v>
      </c>
      <c r="C161" s="90">
        <v>43</v>
      </c>
      <c r="D161" s="91">
        <v>4</v>
      </c>
      <c r="E161" s="91" t="s">
        <v>1073</v>
      </c>
      <c r="F161" s="91" t="s">
        <v>1076</v>
      </c>
      <c r="G161" s="91">
        <f>AVERAGE(2,5,10,15)</f>
        <v>8</v>
      </c>
      <c r="H161" s="91">
        <f t="shared" si="0"/>
        <v>75</v>
      </c>
      <c r="I161" s="2"/>
      <c r="J161" s="116">
        <v>6</v>
      </c>
      <c r="K161" s="113">
        <v>7.1416666666666657</v>
      </c>
      <c r="L161" s="2"/>
      <c r="M161" s="2"/>
      <c r="N161" s="116" t="s">
        <v>780</v>
      </c>
      <c r="O161" s="113">
        <v>10.166666666666666</v>
      </c>
      <c r="P161" s="2"/>
      <c r="Q161" s="2"/>
      <c r="R161" s="2"/>
      <c r="S161" s="2"/>
    </row>
    <row r="162" spans="1:19" x14ac:dyDescent="0.3">
      <c r="A162" s="2"/>
      <c r="B162" s="91" t="s">
        <v>529</v>
      </c>
      <c r="C162" s="90">
        <v>4</v>
      </c>
      <c r="D162" s="91">
        <v>4</v>
      </c>
      <c r="E162" s="91" t="s">
        <v>530</v>
      </c>
      <c r="F162" s="91" t="s">
        <v>533</v>
      </c>
      <c r="G162" s="91">
        <f>AVERAGE(6,7,8,9)</f>
        <v>7.5</v>
      </c>
      <c r="H162" s="91">
        <f t="shared" si="0"/>
        <v>71</v>
      </c>
      <c r="I162" s="2"/>
      <c r="J162" s="116">
        <v>8</v>
      </c>
      <c r="K162" s="113">
        <v>7.083333333333333</v>
      </c>
      <c r="L162" s="2"/>
      <c r="M162" s="2"/>
      <c r="N162" s="116" t="s">
        <v>788</v>
      </c>
      <c r="O162" s="113">
        <v>9.8571428571428577</v>
      </c>
      <c r="P162" s="2"/>
      <c r="Q162" s="2"/>
      <c r="R162" s="2"/>
      <c r="S162" s="2"/>
    </row>
    <row r="163" spans="1:19" x14ac:dyDescent="0.3">
      <c r="A163" s="2"/>
      <c r="B163" s="91" t="s">
        <v>524</v>
      </c>
      <c r="C163" s="90">
        <v>4</v>
      </c>
      <c r="D163" s="91">
        <v>4</v>
      </c>
      <c r="E163" s="91" t="s">
        <v>525</v>
      </c>
      <c r="F163" s="91" t="s">
        <v>528</v>
      </c>
      <c r="G163" s="91">
        <f>AVERAGE(1,5,10,13)</f>
        <v>7.25</v>
      </c>
      <c r="H163" s="91">
        <f t="shared" si="0"/>
        <v>67</v>
      </c>
      <c r="I163" s="2"/>
      <c r="J163" s="116">
        <v>5</v>
      </c>
      <c r="K163" s="113">
        <v>6.3933333333333326</v>
      </c>
      <c r="L163" s="2"/>
      <c r="M163" s="2"/>
      <c r="N163" s="116" t="s">
        <v>513</v>
      </c>
      <c r="O163" s="113">
        <v>9.75</v>
      </c>
      <c r="P163" s="2"/>
      <c r="Q163" s="2"/>
      <c r="R163" s="2"/>
      <c r="S163" s="2"/>
    </row>
    <row r="164" spans="1:19" x14ac:dyDescent="0.3">
      <c r="A164" s="2"/>
      <c r="B164" s="91" t="s">
        <v>1088</v>
      </c>
      <c r="C164" s="90">
        <v>44</v>
      </c>
      <c r="D164" s="91">
        <v>4</v>
      </c>
      <c r="E164" s="91" t="s">
        <v>1089</v>
      </c>
      <c r="F164" s="91" t="s">
        <v>1092</v>
      </c>
      <c r="G164" s="91">
        <f>AVERAGE(2,7,8,11)</f>
        <v>7</v>
      </c>
      <c r="H164" s="91">
        <f t="shared" si="0"/>
        <v>58</v>
      </c>
      <c r="I164" s="2"/>
      <c r="J164" s="116">
        <v>7</v>
      </c>
      <c r="K164" s="113">
        <v>6.3766233766233773</v>
      </c>
      <c r="L164" s="2"/>
      <c r="M164" s="2"/>
      <c r="N164" s="116" t="s">
        <v>755</v>
      </c>
      <c r="O164" s="113">
        <v>9.6666666666666661</v>
      </c>
      <c r="P164" s="2"/>
      <c r="Q164" s="2"/>
      <c r="R164" s="2"/>
      <c r="S164" s="2"/>
    </row>
    <row r="165" spans="1:19" x14ac:dyDescent="0.3">
      <c r="A165" s="2"/>
      <c r="B165" s="91" t="s">
        <v>1110</v>
      </c>
      <c r="C165" s="90">
        <v>43</v>
      </c>
      <c r="D165" s="91">
        <v>4</v>
      </c>
      <c r="E165" s="91" t="s">
        <v>1078</v>
      </c>
      <c r="F165" s="91" t="s">
        <v>1081</v>
      </c>
      <c r="G165" s="91">
        <f>AVERAGE(1,4,6,16)</f>
        <v>6.75</v>
      </c>
      <c r="H165" s="91">
        <f t="shared" si="0"/>
        <v>55</v>
      </c>
      <c r="I165" s="2"/>
      <c r="J165" s="117">
        <v>4</v>
      </c>
      <c r="K165" s="113">
        <v>6.1851851851851851</v>
      </c>
      <c r="L165" s="2"/>
      <c r="M165" s="2"/>
      <c r="N165" s="116" t="s">
        <v>804</v>
      </c>
      <c r="O165" s="113">
        <v>9.6</v>
      </c>
      <c r="P165" s="2"/>
      <c r="Q165" s="2"/>
      <c r="R165" s="2"/>
      <c r="S165" s="2"/>
    </row>
    <row r="166" spans="1:19" x14ac:dyDescent="0.3">
      <c r="A166" s="2"/>
      <c r="B166" s="91" t="s">
        <v>658</v>
      </c>
      <c r="C166" s="90">
        <v>14</v>
      </c>
      <c r="D166" s="91">
        <v>4</v>
      </c>
      <c r="E166" s="91" t="s">
        <v>659</v>
      </c>
      <c r="F166" s="91" t="s">
        <v>662</v>
      </c>
      <c r="G166" s="91">
        <f>AVERAGE(2,7,8,9)</f>
        <v>6.5</v>
      </c>
      <c r="H166" s="91">
        <f t="shared" si="0"/>
        <v>51</v>
      </c>
      <c r="I166" s="2"/>
      <c r="J166" s="50" t="s">
        <v>1139</v>
      </c>
      <c r="K166" s="114">
        <v>6.1851851851851851</v>
      </c>
      <c r="L166" s="2"/>
      <c r="M166" s="2"/>
      <c r="N166" s="116" t="s">
        <v>744</v>
      </c>
      <c r="O166" s="113">
        <v>9.3333333333333339</v>
      </c>
      <c r="P166" s="2"/>
      <c r="Q166" s="2"/>
      <c r="R166" s="2"/>
      <c r="S166" s="2"/>
    </row>
    <row r="167" spans="1:19" x14ac:dyDescent="0.3">
      <c r="A167" s="2"/>
      <c r="B167" s="91" t="s">
        <v>927</v>
      </c>
      <c r="C167" s="90">
        <v>32</v>
      </c>
      <c r="D167" s="91">
        <v>4</v>
      </c>
      <c r="E167" s="91" t="s">
        <v>928</v>
      </c>
      <c r="F167" s="91" t="s">
        <v>931</v>
      </c>
      <c r="G167" s="91">
        <f>AVERAGE(3,6,7,8)</f>
        <v>6</v>
      </c>
      <c r="H167" s="91">
        <f t="shared" si="0"/>
        <v>44</v>
      </c>
      <c r="I167" s="2"/>
      <c r="J167" s="2"/>
      <c r="K167" s="2"/>
      <c r="L167" s="2"/>
      <c r="M167" s="2"/>
      <c r="N167" s="116" t="s">
        <v>517</v>
      </c>
      <c r="O167" s="113">
        <v>9.25</v>
      </c>
      <c r="P167" s="2"/>
      <c r="Q167" s="2"/>
      <c r="R167" s="2"/>
      <c r="S167" s="2"/>
    </row>
    <row r="168" spans="1:19" x14ac:dyDescent="0.3">
      <c r="A168" s="2"/>
      <c r="B168" s="91" t="s">
        <v>1053</v>
      </c>
      <c r="C168" s="90">
        <v>41</v>
      </c>
      <c r="D168" s="91">
        <v>4</v>
      </c>
      <c r="E168" s="91" t="s">
        <v>1054</v>
      </c>
      <c r="F168" s="91" t="s">
        <v>1056</v>
      </c>
      <c r="G168" s="91">
        <f>AVERAGE(2,6,7,8)</f>
        <v>5.75</v>
      </c>
      <c r="H168" s="91">
        <f t="shared" si="0"/>
        <v>42</v>
      </c>
      <c r="I168" s="2"/>
      <c r="J168" s="2"/>
      <c r="K168" s="2"/>
      <c r="L168" s="2"/>
      <c r="M168" s="2"/>
      <c r="N168" s="116" t="s">
        <v>976</v>
      </c>
      <c r="O168" s="113">
        <v>9.1999999999999993</v>
      </c>
      <c r="P168" s="2"/>
      <c r="Q168" s="2"/>
      <c r="R168" s="2"/>
      <c r="S168" s="2"/>
    </row>
    <row r="169" spans="1:19" x14ac:dyDescent="0.3">
      <c r="A169" s="2"/>
      <c r="B169" s="91" t="s">
        <v>719</v>
      </c>
      <c r="C169" s="90">
        <v>18</v>
      </c>
      <c r="D169" s="91">
        <v>4</v>
      </c>
      <c r="E169" s="91" t="s">
        <v>713</v>
      </c>
      <c r="F169" s="91" t="s">
        <v>721</v>
      </c>
      <c r="G169" s="91">
        <f>AVERAGE(2,4,7,9)</f>
        <v>5.5</v>
      </c>
      <c r="H169" s="91">
        <f t="shared" si="0"/>
        <v>39</v>
      </c>
      <c r="I169" s="2"/>
      <c r="J169" s="2"/>
      <c r="K169" s="2"/>
      <c r="L169" s="2"/>
      <c r="M169" s="2"/>
      <c r="N169" s="116" t="s">
        <v>1049</v>
      </c>
      <c r="O169" s="113">
        <v>9</v>
      </c>
      <c r="P169" s="2"/>
      <c r="Q169" s="2"/>
      <c r="R169" s="2"/>
      <c r="S169" s="2"/>
    </row>
    <row r="170" spans="1:19" x14ac:dyDescent="0.3">
      <c r="A170" s="2"/>
      <c r="B170" s="91" t="s">
        <v>1151</v>
      </c>
      <c r="C170" s="90">
        <v>35</v>
      </c>
      <c r="D170" s="91">
        <v>4</v>
      </c>
      <c r="E170" s="91" t="s">
        <v>983</v>
      </c>
      <c r="F170" s="91" t="s">
        <v>988</v>
      </c>
      <c r="G170" s="91">
        <f>AVERAGE(1,4,6,7)</f>
        <v>4.5</v>
      </c>
      <c r="H170" s="91">
        <f t="shared" si="0"/>
        <v>28</v>
      </c>
      <c r="I170" s="2"/>
      <c r="J170" s="2"/>
      <c r="K170" s="2"/>
      <c r="L170" s="2"/>
      <c r="M170" s="2"/>
      <c r="N170" s="116" t="s">
        <v>1082</v>
      </c>
      <c r="O170" s="113">
        <v>8.6</v>
      </c>
      <c r="P170" s="2"/>
      <c r="Q170" s="2"/>
      <c r="R170" s="2"/>
      <c r="S170" s="2"/>
    </row>
    <row r="171" spans="1:19" x14ac:dyDescent="0.3">
      <c r="A171" s="2"/>
      <c r="B171" s="91" t="s">
        <v>663</v>
      </c>
      <c r="C171" s="90">
        <v>14</v>
      </c>
      <c r="D171" s="91">
        <v>4</v>
      </c>
      <c r="E171" s="91" t="s">
        <v>664</v>
      </c>
      <c r="F171" s="91" t="s">
        <v>667</v>
      </c>
      <c r="G171" s="91">
        <f>AVERAGE(1,2,4,10)</f>
        <v>4.25</v>
      </c>
      <c r="H171" s="91">
        <f t="shared" si="0"/>
        <v>25</v>
      </c>
      <c r="I171" s="2"/>
      <c r="J171" s="2"/>
      <c r="K171" s="2"/>
      <c r="L171" s="2"/>
      <c r="M171" s="2"/>
      <c r="N171" s="116" t="s">
        <v>629</v>
      </c>
      <c r="O171" s="113">
        <v>8.5</v>
      </c>
      <c r="P171" s="2"/>
      <c r="Q171" s="2"/>
      <c r="R171" s="2"/>
      <c r="S171" s="2"/>
    </row>
    <row r="172" spans="1:19" x14ac:dyDescent="0.3">
      <c r="A172" s="2"/>
      <c r="B172" s="91" t="s">
        <v>750</v>
      </c>
      <c r="C172" s="90">
        <v>20</v>
      </c>
      <c r="D172" s="91">
        <v>4</v>
      </c>
      <c r="E172" s="91" t="s">
        <v>751</v>
      </c>
      <c r="F172" s="91" t="s">
        <v>753</v>
      </c>
      <c r="G172" s="91">
        <f>AVERAGE(2,3,4,7)</f>
        <v>4</v>
      </c>
      <c r="H172" s="91">
        <f t="shared" si="0"/>
        <v>18</v>
      </c>
      <c r="I172" s="2"/>
      <c r="J172" s="2"/>
      <c r="K172" s="2"/>
      <c r="L172" s="2"/>
      <c r="M172" s="2"/>
      <c r="N172" s="116" t="s">
        <v>921</v>
      </c>
      <c r="O172" s="113">
        <v>8.5</v>
      </c>
      <c r="P172" s="2"/>
      <c r="Q172" s="2"/>
      <c r="R172" s="2"/>
      <c r="S172" s="2"/>
    </row>
    <row r="173" spans="1:19" x14ac:dyDescent="0.3">
      <c r="A173" s="2"/>
      <c r="B173" s="91" t="s">
        <v>1061</v>
      </c>
      <c r="C173" s="90">
        <v>42</v>
      </c>
      <c r="D173" s="91">
        <v>4</v>
      </c>
      <c r="E173" s="91" t="s">
        <v>1062</v>
      </c>
      <c r="F173" s="91" t="s">
        <v>1065</v>
      </c>
      <c r="G173" s="91">
        <f>AVERAGE(1,4,5,6)</f>
        <v>4</v>
      </c>
      <c r="H173" s="91">
        <f t="shared" ref="H173:H204" si="2">_xlfn.RANK.EQ($G173,$G$141:$G$244,1)</f>
        <v>18</v>
      </c>
      <c r="I173" s="2"/>
      <c r="J173" s="2"/>
      <c r="K173" s="2"/>
      <c r="L173" s="2"/>
      <c r="M173" s="2"/>
      <c r="N173" s="116" t="s">
        <v>594</v>
      </c>
      <c r="O173" s="113">
        <v>8.25</v>
      </c>
      <c r="P173" s="2"/>
      <c r="Q173" s="2"/>
      <c r="R173" s="2"/>
      <c r="S173" s="2"/>
    </row>
    <row r="174" spans="1:19" x14ac:dyDescent="0.3">
      <c r="A174" s="2"/>
      <c r="B174" s="91" t="s">
        <v>1153</v>
      </c>
      <c r="C174" s="90">
        <v>41</v>
      </c>
      <c r="D174" s="91">
        <v>4</v>
      </c>
      <c r="E174" s="91" t="s">
        <v>1057</v>
      </c>
      <c r="F174" s="91" t="s">
        <v>1119</v>
      </c>
      <c r="G174" s="91">
        <f>AVERAGE(1,3,4,5)</f>
        <v>3.25</v>
      </c>
      <c r="H174" s="91">
        <f t="shared" si="2"/>
        <v>12</v>
      </c>
      <c r="I174" s="2"/>
      <c r="J174" s="2"/>
      <c r="K174" s="2"/>
      <c r="L174" s="2"/>
      <c r="M174" s="2"/>
      <c r="N174" s="116" t="s">
        <v>641</v>
      </c>
      <c r="O174" s="113">
        <v>8.25</v>
      </c>
      <c r="P174" s="2"/>
      <c r="Q174" s="2"/>
      <c r="R174" s="2"/>
      <c r="S174" s="2"/>
    </row>
    <row r="175" spans="1:19" x14ac:dyDescent="0.3">
      <c r="A175" s="2"/>
      <c r="B175" s="91" t="s">
        <v>723</v>
      </c>
      <c r="C175" s="90">
        <v>19</v>
      </c>
      <c r="D175" s="91">
        <v>4</v>
      </c>
      <c r="E175" s="91" t="s">
        <v>724</v>
      </c>
      <c r="F175" s="91" t="s">
        <v>727</v>
      </c>
      <c r="G175" s="91">
        <f>AVERAGE(1,2,3,5)</f>
        <v>2.75</v>
      </c>
      <c r="H175" s="91">
        <f t="shared" si="2"/>
        <v>6</v>
      </c>
      <c r="I175" s="2"/>
      <c r="J175" s="2"/>
      <c r="K175" s="2"/>
      <c r="L175" s="2"/>
      <c r="M175" s="2"/>
      <c r="N175" s="116" t="s">
        <v>907</v>
      </c>
      <c r="O175" s="113">
        <v>8.25</v>
      </c>
      <c r="P175" s="2"/>
      <c r="Q175" s="2"/>
      <c r="R175" s="2"/>
      <c r="S175" s="2"/>
    </row>
    <row r="176" spans="1:19" x14ac:dyDescent="0.3">
      <c r="A176" s="2"/>
      <c r="B176" s="91" t="s">
        <v>1152</v>
      </c>
      <c r="C176" s="90">
        <v>36</v>
      </c>
      <c r="D176" s="91">
        <v>4</v>
      </c>
      <c r="E176" s="91" t="s">
        <v>993</v>
      </c>
      <c r="F176" s="91" t="s">
        <v>1002</v>
      </c>
      <c r="G176" s="91">
        <f>AVERAGE(1,2,3,5)</f>
        <v>2.75</v>
      </c>
      <c r="H176" s="91">
        <f t="shared" si="2"/>
        <v>6</v>
      </c>
      <c r="I176" s="2"/>
      <c r="J176" s="2"/>
      <c r="K176" s="2"/>
      <c r="L176" s="2"/>
      <c r="M176" s="2"/>
      <c r="N176" s="116" t="s">
        <v>600</v>
      </c>
      <c r="O176" s="113">
        <v>8.1999999999999993</v>
      </c>
      <c r="P176" s="2"/>
      <c r="Q176" s="2"/>
      <c r="R176" s="2"/>
      <c r="S176" s="2"/>
    </row>
    <row r="177" spans="1:19" x14ac:dyDescent="0.3">
      <c r="A177" s="2"/>
      <c r="B177" s="91" t="s">
        <v>1108</v>
      </c>
      <c r="C177" s="90">
        <v>1</v>
      </c>
      <c r="D177" s="91">
        <v>4</v>
      </c>
      <c r="E177" s="91" t="s">
        <v>483</v>
      </c>
      <c r="F177" s="91" t="s">
        <v>1111</v>
      </c>
      <c r="G177" s="91">
        <f>AVERAGE(1,2,3,4)</f>
        <v>2.5</v>
      </c>
      <c r="H177" s="91">
        <f t="shared" si="2"/>
        <v>2</v>
      </c>
      <c r="I177" s="2"/>
      <c r="J177" s="2"/>
      <c r="K177" s="2"/>
      <c r="L177" s="2"/>
      <c r="M177" s="2"/>
      <c r="N177" s="116" t="s">
        <v>573</v>
      </c>
      <c r="O177" s="113">
        <v>8.1999999999999993</v>
      </c>
      <c r="P177" s="2"/>
      <c r="Q177" s="2"/>
      <c r="R177" s="2"/>
      <c r="S177" s="2"/>
    </row>
    <row r="178" spans="1:19" x14ac:dyDescent="0.3">
      <c r="A178" s="2"/>
      <c r="B178" s="91" t="s">
        <v>1149</v>
      </c>
      <c r="C178" s="90">
        <v>9</v>
      </c>
      <c r="D178" s="91">
        <v>4</v>
      </c>
      <c r="E178" s="91" t="s">
        <v>601</v>
      </c>
      <c r="F178" s="91" t="s">
        <v>609</v>
      </c>
      <c r="G178" s="91">
        <f>AVERAGE(1,2,3,4)</f>
        <v>2.5</v>
      </c>
      <c r="H178" s="91">
        <f t="shared" si="2"/>
        <v>2</v>
      </c>
      <c r="I178" s="2"/>
      <c r="J178" s="2"/>
      <c r="K178" s="2"/>
      <c r="L178" s="2"/>
      <c r="M178" s="2"/>
      <c r="N178" s="116" t="s">
        <v>1072</v>
      </c>
      <c r="O178" s="113">
        <v>8</v>
      </c>
      <c r="P178" s="2"/>
      <c r="Q178" s="2"/>
      <c r="R178" s="2"/>
      <c r="S178" s="2"/>
    </row>
    <row r="179" spans="1:19" x14ac:dyDescent="0.3">
      <c r="A179" s="2"/>
      <c r="B179" s="91" t="s">
        <v>646</v>
      </c>
      <c r="C179" s="90">
        <v>13</v>
      </c>
      <c r="D179" s="91">
        <v>4</v>
      </c>
      <c r="E179" s="91" t="s">
        <v>647</v>
      </c>
      <c r="F179" s="91" t="s">
        <v>650</v>
      </c>
      <c r="G179" s="91">
        <f>AVERAGE(1,2,3,4)</f>
        <v>2.5</v>
      </c>
      <c r="H179" s="91">
        <f t="shared" si="2"/>
        <v>2</v>
      </c>
      <c r="I179" s="2"/>
      <c r="J179" s="2"/>
      <c r="K179" s="2"/>
      <c r="L179" s="2"/>
      <c r="M179" s="2"/>
      <c r="N179" s="116" t="s">
        <v>545</v>
      </c>
      <c r="O179" s="113">
        <v>8</v>
      </c>
      <c r="P179" s="2"/>
      <c r="Q179" s="2"/>
      <c r="R179" s="2"/>
      <c r="S179" s="2"/>
    </row>
    <row r="180" spans="1:19" x14ac:dyDescent="0.3">
      <c r="A180" s="2"/>
      <c r="B180" s="91" t="s">
        <v>1118</v>
      </c>
      <c r="C180" s="90">
        <v>26</v>
      </c>
      <c r="D180" s="91">
        <v>5</v>
      </c>
      <c r="E180" s="91" t="s">
        <v>841</v>
      </c>
      <c r="F180" s="91" t="s">
        <v>844</v>
      </c>
      <c r="G180" s="91">
        <f>AVERAGE(4,8,9,18,19)</f>
        <v>11.6</v>
      </c>
      <c r="H180" s="91">
        <f t="shared" si="2"/>
        <v>100</v>
      </c>
      <c r="I180" s="2"/>
      <c r="J180" s="2"/>
      <c r="K180" s="2"/>
      <c r="L180" s="2"/>
      <c r="M180" s="2"/>
      <c r="N180" s="116" t="s">
        <v>1010</v>
      </c>
      <c r="O180" s="113">
        <v>7.875</v>
      </c>
      <c r="P180" s="2"/>
      <c r="Q180" s="2"/>
      <c r="R180" s="2"/>
      <c r="S180" s="2"/>
    </row>
    <row r="181" spans="1:19" x14ac:dyDescent="0.3">
      <c r="A181" s="2"/>
      <c r="B181" s="91" t="s">
        <v>859</v>
      </c>
      <c r="C181" s="90">
        <v>27</v>
      </c>
      <c r="D181" s="91">
        <v>5</v>
      </c>
      <c r="E181" s="91" t="s">
        <v>860</v>
      </c>
      <c r="F181" s="91" t="s">
        <v>863</v>
      </c>
      <c r="G181" s="91">
        <f>AVERAGE(7,9,12,13,15)</f>
        <v>11.2</v>
      </c>
      <c r="H181" s="91">
        <f t="shared" si="2"/>
        <v>96</v>
      </c>
      <c r="I181" s="2"/>
      <c r="J181" s="2"/>
      <c r="K181" s="2"/>
      <c r="L181" s="2"/>
      <c r="M181" s="2"/>
      <c r="N181" s="116" t="s">
        <v>728</v>
      </c>
      <c r="O181" s="113">
        <v>7.8571428571428568</v>
      </c>
      <c r="P181" s="2"/>
      <c r="Q181" s="2"/>
      <c r="R181" s="2"/>
      <c r="S181" s="2"/>
    </row>
    <row r="182" spans="1:19" x14ac:dyDescent="0.3">
      <c r="A182" s="2"/>
      <c r="B182" s="91" t="s">
        <v>888</v>
      </c>
      <c r="C182" s="90">
        <v>29</v>
      </c>
      <c r="D182" s="91">
        <v>5</v>
      </c>
      <c r="E182" s="91" t="s">
        <v>889</v>
      </c>
      <c r="F182" s="91" t="s">
        <v>893</v>
      </c>
      <c r="G182" s="91">
        <f>AVERAGE(7,9,11,13,16)</f>
        <v>11.2</v>
      </c>
      <c r="H182" s="91">
        <f t="shared" si="2"/>
        <v>96</v>
      </c>
      <c r="I182" s="2"/>
      <c r="J182" s="2"/>
      <c r="K182" s="2"/>
      <c r="L182" s="2"/>
      <c r="M182" s="2"/>
      <c r="N182" s="116" t="s">
        <v>825</v>
      </c>
      <c r="O182" s="113">
        <v>7.666666666666667</v>
      </c>
      <c r="P182" s="2"/>
      <c r="Q182" s="2"/>
      <c r="R182" s="2"/>
      <c r="S182" s="2"/>
    </row>
    <row r="183" spans="1:19" x14ac:dyDescent="0.3">
      <c r="A183" s="2"/>
      <c r="B183" s="91" t="s">
        <v>1036</v>
      </c>
      <c r="C183" s="90">
        <v>39</v>
      </c>
      <c r="D183" s="91">
        <v>5</v>
      </c>
      <c r="E183" s="91" t="s">
        <v>1037</v>
      </c>
      <c r="F183" s="91" t="s">
        <v>1041</v>
      </c>
      <c r="G183" s="91">
        <f>AVERAGE(7,8,9,10,17)</f>
        <v>10.199999999999999</v>
      </c>
      <c r="H183" s="91">
        <f t="shared" si="2"/>
        <v>94</v>
      </c>
      <c r="I183" s="2"/>
      <c r="J183" s="2"/>
      <c r="K183" s="2"/>
      <c r="L183" s="2"/>
      <c r="M183" s="2"/>
      <c r="N183" s="116" t="s">
        <v>529</v>
      </c>
      <c r="O183" s="113">
        <v>7.5</v>
      </c>
      <c r="P183" s="2"/>
      <c r="Q183" s="2"/>
      <c r="R183" s="2"/>
      <c r="S183" s="2"/>
    </row>
    <row r="184" spans="1:19" x14ac:dyDescent="0.3">
      <c r="A184" s="2"/>
      <c r="B184" s="91" t="s">
        <v>804</v>
      </c>
      <c r="C184" s="90">
        <v>24</v>
      </c>
      <c r="D184" s="91">
        <v>5</v>
      </c>
      <c r="E184" s="91" t="s">
        <v>805</v>
      </c>
      <c r="F184" s="91" t="s">
        <v>809</v>
      </c>
      <c r="G184" s="91">
        <f>AVERAGE(6,8,9,12,13)</f>
        <v>9.6</v>
      </c>
      <c r="H184" s="91">
        <f t="shared" si="2"/>
        <v>89</v>
      </c>
      <c r="I184" s="2"/>
      <c r="J184" s="2"/>
      <c r="K184" s="2"/>
      <c r="L184" s="2"/>
      <c r="M184" s="2"/>
      <c r="N184" s="116" t="s">
        <v>703</v>
      </c>
      <c r="O184" s="113">
        <v>7.4285714285714288</v>
      </c>
      <c r="P184" s="2"/>
      <c r="Q184" s="2"/>
      <c r="R184" s="2"/>
      <c r="S184" s="2"/>
    </row>
    <row r="185" spans="1:19" x14ac:dyDescent="0.3">
      <c r="A185" s="2"/>
      <c r="B185" s="91" t="s">
        <v>976</v>
      </c>
      <c r="C185" s="90">
        <v>35</v>
      </c>
      <c r="D185" s="91">
        <v>5</v>
      </c>
      <c r="E185" s="91" t="s">
        <v>977</v>
      </c>
      <c r="F185" s="91" t="s">
        <v>981</v>
      </c>
      <c r="G185" s="91">
        <f>AVERAGE(5,8,10,11,12)</f>
        <v>9.1999999999999993</v>
      </c>
      <c r="H185" s="91">
        <f t="shared" si="2"/>
        <v>86</v>
      </c>
      <c r="I185" s="2"/>
      <c r="J185" s="2"/>
      <c r="K185" s="2"/>
      <c r="L185" s="2"/>
      <c r="M185" s="2"/>
      <c r="N185" s="116" t="s">
        <v>1021</v>
      </c>
      <c r="O185" s="113">
        <v>7.333333333333333</v>
      </c>
      <c r="P185" s="2"/>
      <c r="Q185" s="2"/>
      <c r="R185" s="2"/>
      <c r="S185" s="2"/>
    </row>
    <row r="186" spans="1:19" x14ac:dyDescent="0.3">
      <c r="A186" s="2"/>
      <c r="B186" s="91" t="s">
        <v>1082</v>
      </c>
      <c r="C186" s="90">
        <v>44</v>
      </c>
      <c r="D186" s="91">
        <v>5</v>
      </c>
      <c r="E186" s="91" t="s">
        <v>1083</v>
      </c>
      <c r="F186" s="91" t="s">
        <v>1087</v>
      </c>
      <c r="G186" s="91">
        <f>AVERAGE(5,6,9,10,13)</f>
        <v>8.6</v>
      </c>
      <c r="H186" s="91">
        <f t="shared" si="2"/>
        <v>84</v>
      </c>
      <c r="I186" s="2"/>
      <c r="J186" s="2"/>
      <c r="K186" s="2"/>
      <c r="L186" s="2"/>
      <c r="M186" s="2"/>
      <c r="N186" s="116" t="s">
        <v>1042</v>
      </c>
      <c r="O186" s="113">
        <v>7.333333333333333</v>
      </c>
      <c r="P186" s="2"/>
      <c r="Q186" s="2"/>
      <c r="R186" s="2"/>
      <c r="S186" s="2"/>
    </row>
    <row r="187" spans="1:19" x14ac:dyDescent="0.3">
      <c r="A187" s="2"/>
      <c r="B187" s="91" t="s">
        <v>573</v>
      </c>
      <c r="C187" s="90">
        <v>7</v>
      </c>
      <c r="D187" s="91">
        <v>5</v>
      </c>
      <c r="E187" s="91" t="s">
        <v>574</v>
      </c>
      <c r="F187" s="91" t="s">
        <v>578</v>
      </c>
      <c r="G187" s="91">
        <f>AVERAGE(4,7,9,10,11)</f>
        <v>8.1999999999999993</v>
      </c>
      <c r="H187" s="91">
        <f t="shared" si="2"/>
        <v>77</v>
      </c>
      <c r="I187" s="2"/>
      <c r="J187" s="2"/>
      <c r="K187" s="2"/>
      <c r="L187" s="2"/>
      <c r="M187" s="2"/>
      <c r="N187" s="116" t="s">
        <v>524</v>
      </c>
      <c r="O187" s="113">
        <v>7.25</v>
      </c>
      <c r="P187" s="2"/>
      <c r="Q187" s="2"/>
      <c r="R187" s="2"/>
      <c r="S187" s="2"/>
    </row>
    <row r="188" spans="1:19" x14ac:dyDescent="0.3">
      <c r="A188" s="2"/>
      <c r="B188" s="91" t="s">
        <v>600</v>
      </c>
      <c r="C188" s="90">
        <v>9</v>
      </c>
      <c r="D188" s="91">
        <v>5</v>
      </c>
      <c r="E188" s="91" t="s">
        <v>601</v>
      </c>
      <c r="F188" s="91" t="s">
        <v>605</v>
      </c>
      <c r="G188" s="91">
        <f>AVERAGE(1,8,9,10,13)</f>
        <v>8.1999999999999993</v>
      </c>
      <c r="H188" s="91">
        <f t="shared" si="2"/>
        <v>77</v>
      </c>
      <c r="I188" s="2"/>
      <c r="J188" s="2"/>
      <c r="K188" s="2"/>
      <c r="L188" s="2"/>
      <c r="M188" s="2"/>
      <c r="N188" s="116" t="s">
        <v>487</v>
      </c>
      <c r="O188" s="113">
        <v>7</v>
      </c>
      <c r="P188" s="2"/>
      <c r="Q188" s="2"/>
      <c r="R188" s="2"/>
      <c r="S188" s="2"/>
    </row>
    <row r="189" spans="1:19" x14ac:dyDescent="0.3">
      <c r="A189" s="2"/>
      <c r="B189" s="91" t="s">
        <v>545</v>
      </c>
      <c r="C189" s="90">
        <v>5</v>
      </c>
      <c r="D189" s="91">
        <v>5</v>
      </c>
      <c r="E189" s="91" t="s">
        <v>546</v>
      </c>
      <c r="F189" s="91" t="s">
        <v>550</v>
      </c>
      <c r="G189" s="91">
        <f>AVERAGE(6,7,8,9,10)</f>
        <v>8</v>
      </c>
      <c r="H189" s="91">
        <f t="shared" si="2"/>
        <v>75</v>
      </c>
      <c r="I189" s="2"/>
      <c r="J189" s="2"/>
      <c r="K189" s="2"/>
      <c r="L189" s="2"/>
      <c r="M189" s="2"/>
      <c r="N189" s="116" t="s">
        <v>968</v>
      </c>
      <c r="O189" s="113">
        <v>7</v>
      </c>
      <c r="P189" s="2"/>
      <c r="Q189" s="2"/>
      <c r="R189" s="2"/>
      <c r="S189" s="2"/>
    </row>
    <row r="190" spans="1:19" x14ac:dyDescent="0.3">
      <c r="A190" s="2"/>
      <c r="B190" s="91" t="s">
        <v>500</v>
      </c>
      <c r="C190" s="90">
        <v>2</v>
      </c>
      <c r="D190" s="91">
        <v>5</v>
      </c>
      <c r="E190" s="91" t="s">
        <v>501</v>
      </c>
      <c r="F190" s="91" t="s">
        <v>505</v>
      </c>
      <c r="G190" s="91">
        <f>AVERAGE(4,5,7,9,10)</f>
        <v>7</v>
      </c>
      <c r="H190" s="91">
        <f t="shared" si="2"/>
        <v>58</v>
      </c>
      <c r="I190" s="2"/>
      <c r="J190" s="2"/>
      <c r="K190" s="2"/>
      <c r="L190" s="2"/>
      <c r="M190" s="2"/>
      <c r="N190" s="116" t="s">
        <v>500</v>
      </c>
      <c r="O190" s="113">
        <v>7</v>
      </c>
      <c r="P190" s="2"/>
      <c r="Q190" s="2"/>
      <c r="R190" s="2"/>
      <c r="S190" s="2"/>
    </row>
    <row r="191" spans="1:19" x14ac:dyDescent="0.3">
      <c r="A191" s="2"/>
      <c r="B191" s="91" t="s">
        <v>651</v>
      </c>
      <c r="C191" s="90">
        <v>13</v>
      </c>
      <c r="D191" s="91">
        <v>5</v>
      </c>
      <c r="E191" s="91" t="s">
        <v>652</v>
      </c>
      <c r="F191" s="91" t="s">
        <v>656</v>
      </c>
      <c r="G191" s="91">
        <f>AVERAGE(5,6,7,8,9)</f>
        <v>7</v>
      </c>
      <c r="H191" s="91">
        <f t="shared" si="2"/>
        <v>58</v>
      </c>
      <c r="I191" s="2"/>
      <c r="J191" s="2"/>
      <c r="K191" s="2"/>
      <c r="L191" s="2"/>
      <c r="M191" s="2"/>
      <c r="N191" s="116" t="s">
        <v>958</v>
      </c>
      <c r="O191" s="113">
        <v>7</v>
      </c>
      <c r="P191" s="2"/>
      <c r="Q191" s="2"/>
      <c r="R191" s="2"/>
      <c r="S191" s="2"/>
    </row>
    <row r="192" spans="1:19" x14ac:dyDescent="0.3">
      <c r="A192" s="2"/>
      <c r="B192" s="91" t="s">
        <v>958</v>
      </c>
      <c r="C192" s="90">
        <v>33</v>
      </c>
      <c r="D192" s="91">
        <v>5</v>
      </c>
      <c r="E192" s="91" t="s">
        <v>940</v>
      </c>
      <c r="F192" s="91" t="s">
        <v>959</v>
      </c>
      <c r="G192" s="91">
        <f>AVERAGE(5,6,7,8,9)</f>
        <v>7</v>
      </c>
      <c r="H192" s="91">
        <f t="shared" si="2"/>
        <v>58</v>
      </c>
      <c r="I192" s="2"/>
      <c r="J192" s="2"/>
      <c r="K192" s="2"/>
      <c r="L192" s="2"/>
      <c r="M192" s="2"/>
      <c r="N192" s="116" t="s">
        <v>651</v>
      </c>
      <c r="O192" s="113">
        <v>7</v>
      </c>
      <c r="P192" s="2"/>
      <c r="Q192" s="2"/>
      <c r="R192" s="2"/>
      <c r="S192" s="2"/>
    </row>
    <row r="193" spans="1:19" x14ac:dyDescent="0.3">
      <c r="A193" s="2"/>
      <c r="B193" s="91" t="s">
        <v>759</v>
      </c>
      <c r="C193" s="90">
        <v>21</v>
      </c>
      <c r="D193" s="91">
        <v>5</v>
      </c>
      <c r="E193" s="91" t="s">
        <v>760</v>
      </c>
      <c r="F193" s="91" t="s">
        <v>764</v>
      </c>
      <c r="G193" s="91">
        <f>AVERAGE(2,3,8,9,10)</f>
        <v>6.4</v>
      </c>
      <c r="H193" s="91">
        <f t="shared" si="2"/>
        <v>50</v>
      </c>
      <c r="I193" s="2"/>
      <c r="J193" s="2"/>
      <c r="K193" s="2"/>
      <c r="L193" s="2"/>
      <c r="M193" s="2"/>
      <c r="N193" s="116" t="s">
        <v>828</v>
      </c>
      <c r="O193" s="113">
        <v>7</v>
      </c>
      <c r="P193" s="2"/>
      <c r="Q193" s="2"/>
      <c r="R193" s="2"/>
      <c r="S193" s="2"/>
    </row>
    <row r="194" spans="1:19" x14ac:dyDescent="0.3">
      <c r="A194" s="2"/>
      <c r="B194" s="91" t="s">
        <v>567</v>
      </c>
      <c r="C194" s="90">
        <v>7</v>
      </c>
      <c r="D194" s="91">
        <v>5</v>
      </c>
      <c r="E194" s="91" t="s">
        <v>568</v>
      </c>
      <c r="F194" s="91" t="s">
        <v>572</v>
      </c>
      <c r="G194" s="91">
        <f>AVERAGE(1,3,6,8,13)</f>
        <v>6.2</v>
      </c>
      <c r="H194" s="91">
        <f t="shared" si="2"/>
        <v>46</v>
      </c>
      <c r="I194" s="2"/>
      <c r="J194" s="2"/>
      <c r="K194" s="2"/>
      <c r="L194" s="2"/>
      <c r="M194" s="2"/>
      <c r="N194" s="116" t="s">
        <v>874</v>
      </c>
      <c r="O194" s="113">
        <v>7</v>
      </c>
      <c r="P194" s="2"/>
      <c r="Q194" s="2"/>
      <c r="R194" s="2"/>
      <c r="S194" s="2"/>
    </row>
    <row r="195" spans="1:19" x14ac:dyDescent="0.3">
      <c r="A195" s="2"/>
      <c r="B195" s="91" t="s">
        <v>1004</v>
      </c>
      <c r="C195" s="90">
        <v>37</v>
      </c>
      <c r="D195" s="91">
        <v>5</v>
      </c>
      <c r="E195" s="91" t="s">
        <v>1005</v>
      </c>
      <c r="F195" s="91" t="s">
        <v>1009</v>
      </c>
      <c r="G195" s="91">
        <f>AVERAGE(1,6,7,8,9)</f>
        <v>6.2</v>
      </c>
      <c r="H195" s="91">
        <f t="shared" si="2"/>
        <v>46</v>
      </c>
      <c r="I195" s="2"/>
      <c r="J195" s="2"/>
      <c r="K195" s="2"/>
      <c r="L195" s="2"/>
      <c r="M195" s="2"/>
      <c r="N195" s="116" t="s">
        <v>677</v>
      </c>
      <c r="O195" s="113">
        <v>7</v>
      </c>
      <c r="P195" s="2"/>
      <c r="Q195" s="2"/>
      <c r="R195" s="2"/>
      <c r="S195" s="2"/>
    </row>
    <row r="196" spans="1:19" x14ac:dyDescent="0.3">
      <c r="A196" s="2"/>
      <c r="B196" s="91" t="s">
        <v>901</v>
      </c>
      <c r="C196" s="90">
        <v>30</v>
      </c>
      <c r="D196" s="91">
        <v>5</v>
      </c>
      <c r="E196" s="91" t="s">
        <v>902</v>
      </c>
      <c r="F196" s="91" t="s">
        <v>906</v>
      </c>
      <c r="G196" s="91">
        <f>AVERAGE(1,4,5,6,12)</f>
        <v>5.6</v>
      </c>
      <c r="H196" s="91">
        <f t="shared" si="2"/>
        <v>41</v>
      </c>
      <c r="I196" s="2"/>
      <c r="J196" s="2"/>
      <c r="K196" s="2"/>
      <c r="L196" s="2"/>
      <c r="M196" s="2"/>
      <c r="N196" s="116" t="s">
        <v>1088</v>
      </c>
      <c r="O196" s="113">
        <v>7</v>
      </c>
      <c r="P196" s="2"/>
      <c r="Q196" s="2"/>
      <c r="R196" s="2"/>
      <c r="S196" s="2"/>
    </row>
    <row r="197" spans="1:19" x14ac:dyDescent="0.3">
      <c r="A197" s="2"/>
      <c r="B197" s="91" t="s">
        <v>1150</v>
      </c>
      <c r="C197" s="90">
        <v>21</v>
      </c>
      <c r="D197" s="91">
        <v>5</v>
      </c>
      <c r="E197" s="91" t="s">
        <v>760</v>
      </c>
      <c r="F197" s="91" t="s">
        <v>763</v>
      </c>
      <c r="G197" s="91">
        <f>AVERAGE(2,3,4,6,9)</f>
        <v>4.8</v>
      </c>
      <c r="H197" s="91">
        <f t="shared" si="2"/>
        <v>33</v>
      </c>
      <c r="I197" s="2"/>
      <c r="J197" s="2"/>
      <c r="K197" s="2"/>
      <c r="L197" s="2"/>
      <c r="M197" s="2"/>
      <c r="N197" s="116" t="s">
        <v>1110</v>
      </c>
      <c r="O197" s="113">
        <v>6.75</v>
      </c>
      <c r="P197" s="2"/>
      <c r="Q197" s="2"/>
      <c r="R197" s="2"/>
      <c r="S197" s="2"/>
    </row>
    <row r="198" spans="1:19" x14ac:dyDescent="0.3">
      <c r="A198" s="2"/>
      <c r="B198" s="91" t="s">
        <v>882</v>
      </c>
      <c r="C198" s="90">
        <v>28</v>
      </c>
      <c r="D198" s="91">
        <v>5</v>
      </c>
      <c r="E198" s="91" t="s">
        <v>881</v>
      </c>
      <c r="F198" s="91" t="s">
        <v>886</v>
      </c>
      <c r="G198" s="91">
        <f>AVERAGE(1,2,5,7,9)</f>
        <v>4.8</v>
      </c>
      <c r="H198" s="91">
        <f t="shared" si="2"/>
        <v>33</v>
      </c>
      <c r="I198" s="2"/>
      <c r="J198" s="2"/>
      <c r="K198" s="2"/>
      <c r="L198" s="2"/>
      <c r="M198" s="2"/>
      <c r="N198" s="116" t="s">
        <v>1066</v>
      </c>
      <c r="O198" s="113">
        <v>6.75</v>
      </c>
      <c r="P198" s="2"/>
      <c r="Q198" s="2"/>
      <c r="R198" s="2"/>
      <c r="S198" s="2"/>
    </row>
    <row r="199" spans="1:19" x14ac:dyDescent="0.3">
      <c r="A199" s="2"/>
      <c r="B199" s="91" t="s">
        <v>682</v>
      </c>
      <c r="C199" s="90">
        <v>16</v>
      </c>
      <c r="D199" s="91">
        <v>5</v>
      </c>
      <c r="E199" s="91" t="s">
        <v>683</v>
      </c>
      <c r="F199" s="91" t="s">
        <v>686</v>
      </c>
      <c r="G199" s="91">
        <f>AVERAGE(1,2,3,7,9)</f>
        <v>4.4000000000000004</v>
      </c>
      <c r="H199" s="91">
        <f t="shared" si="2"/>
        <v>27</v>
      </c>
      <c r="I199" s="2"/>
      <c r="J199" s="2"/>
      <c r="K199" s="2"/>
      <c r="L199" s="2"/>
      <c r="M199" s="2"/>
      <c r="N199" s="116" t="s">
        <v>695</v>
      </c>
      <c r="O199" s="113">
        <v>6.7142857142857144</v>
      </c>
      <c r="P199" s="2"/>
      <c r="Q199" s="2"/>
      <c r="R199" s="2"/>
      <c r="S199" s="2"/>
    </row>
    <row r="200" spans="1:19" x14ac:dyDescent="0.3">
      <c r="A200" s="2"/>
      <c r="B200" s="91" t="s">
        <v>579</v>
      </c>
      <c r="C200" s="90">
        <v>7</v>
      </c>
      <c r="D200" s="91">
        <v>5</v>
      </c>
      <c r="E200" s="91" t="s">
        <v>580</v>
      </c>
      <c r="F200" s="91" t="s">
        <v>575</v>
      </c>
      <c r="G200" s="91">
        <f>AVERAGE(2,3,4,5,7)</f>
        <v>4.2</v>
      </c>
      <c r="H200" s="91">
        <f t="shared" si="2"/>
        <v>23</v>
      </c>
      <c r="I200" s="2"/>
      <c r="J200" s="2"/>
      <c r="K200" s="2"/>
      <c r="L200" s="2"/>
      <c r="M200" s="2"/>
      <c r="N200" s="116" t="s">
        <v>1027</v>
      </c>
      <c r="O200" s="113">
        <v>6.666666666666667</v>
      </c>
      <c r="P200" s="2"/>
      <c r="Q200" s="2"/>
      <c r="R200" s="2"/>
      <c r="S200" s="2"/>
    </row>
    <row r="201" spans="1:19" x14ac:dyDescent="0.3">
      <c r="A201" s="2"/>
      <c r="B201" s="91" t="s">
        <v>864</v>
      </c>
      <c r="C201" s="90">
        <v>27</v>
      </c>
      <c r="D201" s="91">
        <v>5</v>
      </c>
      <c r="E201" s="91" t="s">
        <v>865</v>
      </c>
      <c r="F201" s="91" t="s">
        <v>870</v>
      </c>
      <c r="G201" s="91">
        <f>AVERAGE(1,2,3,4,11)</f>
        <v>4.2</v>
      </c>
      <c r="H201" s="91">
        <f t="shared" si="2"/>
        <v>23</v>
      </c>
      <c r="I201" s="2"/>
      <c r="J201" s="2"/>
      <c r="K201" s="2"/>
      <c r="L201" s="2"/>
      <c r="M201" s="2"/>
      <c r="N201" s="116" t="s">
        <v>991</v>
      </c>
      <c r="O201" s="113">
        <v>6.625</v>
      </c>
      <c r="P201" s="2"/>
      <c r="Q201" s="2"/>
      <c r="R201" s="2"/>
      <c r="S201" s="2"/>
    </row>
    <row r="202" spans="1:19" x14ac:dyDescent="0.3">
      <c r="A202" s="2"/>
      <c r="B202" s="91" t="s">
        <v>493</v>
      </c>
      <c r="C202" s="90">
        <v>2</v>
      </c>
      <c r="D202" s="91">
        <v>5</v>
      </c>
      <c r="E202" s="91" t="s">
        <v>495</v>
      </c>
      <c r="F202" s="91" t="s">
        <v>499</v>
      </c>
      <c r="G202" s="91">
        <f>AVERAGE(1,2,3,6,8)</f>
        <v>4</v>
      </c>
      <c r="H202" s="91">
        <f t="shared" si="2"/>
        <v>18</v>
      </c>
      <c r="I202" s="2"/>
      <c r="J202" s="2"/>
      <c r="K202" s="2"/>
      <c r="L202" s="2"/>
      <c r="M202" s="2"/>
      <c r="N202" s="116" t="s">
        <v>658</v>
      </c>
      <c r="O202" s="113">
        <v>6.5</v>
      </c>
      <c r="P202" s="2"/>
      <c r="Q202" s="2"/>
      <c r="R202" s="2"/>
      <c r="S202" s="2"/>
    </row>
    <row r="203" spans="1:19" x14ac:dyDescent="0.3">
      <c r="A203" s="2"/>
      <c r="B203" s="91" t="s">
        <v>507</v>
      </c>
      <c r="C203" s="90">
        <v>3</v>
      </c>
      <c r="D203" s="91">
        <v>5</v>
      </c>
      <c r="E203" s="91" t="s">
        <v>508</v>
      </c>
      <c r="F203" s="91" t="s">
        <v>512</v>
      </c>
      <c r="G203" s="91">
        <f>AVERAGE(1,2,3,4,9)</f>
        <v>3.8</v>
      </c>
      <c r="H203" s="91">
        <f t="shared" si="2"/>
        <v>16</v>
      </c>
      <c r="I203" s="2"/>
      <c r="J203" s="2"/>
      <c r="K203" s="2"/>
      <c r="L203" s="2"/>
      <c r="M203" s="2"/>
      <c r="N203" s="116" t="s">
        <v>759</v>
      </c>
      <c r="O203" s="113">
        <v>6.4</v>
      </c>
      <c r="P203" s="2"/>
      <c r="Q203" s="2"/>
      <c r="R203" s="2"/>
      <c r="S203" s="2"/>
    </row>
    <row r="204" spans="1:19" x14ac:dyDescent="0.3">
      <c r="A204" s="2"/>
      <c r="B204" s="91" t="s">
        <v>953</v>
      </c>
      <c r="C204" s="90">
        <v>33</v>
      </c>
      <c r="D204" s="91">
        <v>5</v>
      </c>
      <c r="E204" s="91" t="s">
        <v>954</v>
      </c>
      <c r="F204" s="91" t="s">
        <v>942</v>
      </c>
      <c r="G204" s="91">
        <f>AVERAGE(1,2,2,4,10)</f>
        <v>3.8</v>
      </c>
      <c r="H204" s="91">
        <f t="shared" si="2"/>
        <v>16</v>
      </c>
      <c r="I204" s="2"/>
      <c r="J204" s="2"/>
      <c r="K204" s="2"/>
      <c r="L204" s="2"/>
      <c r="M204" s="2"/>
      <c r="N204" s="116" t="s">
        <v>715</v>
      </c>
      <c r="O204" s="113">
        <v>6.333333333333333</v>
      </c>
      <c r="P204" s="2"/>
      <c r="Q204" s="2"/>
      <c r="R204" s="2"/>
      <c r="S204" s="2"/>
    </row>
    <row r="205" spans="1:19" x14ac:dyDescent="0.3">
      <c r="A205" s="2"/>
      <c r="B205" s="91" t="s">
        <v>814</v>
      </c>
      <c r="C205" s="90">
        <v>24</v>
      </c>
      <c r="D205" s="91">
        <v>5</v>
      </c>
      <c r="E205" s="91" t="s">
        <v>819</v>
      </c>
      <c r="F205" s="91" t="s">
        <v>823</v>
      </c>
      <c r="G205" s="91">
        <f>AVERAGE(1,2,3,5,7)</f>
        <v>3.6</v>
      </c>
      <c r="H205" s="91">
        <f t="shared" ref="H205:H236" si="3">_xlfn.RANK.EQ($G205,$G$141:$G$244,1)</f>
        <v>14</v>
      </c>
      <c r="I205" s="2"/>
      <c r="J205" s="2"/>
      <c r="K205" s="2"/>
      <c r="L205" s="2"/>
      <c r="M205" s="2"/>
      <c r="N205" s="116" t="s">
        <v>913</v>
      </c>
      <c r="O205" s="113">
        <v>6.2857142857142856</v>
      </c>
      <c r="P205" s="2"/>
      <c r="Q205" s="2"/>
      <c r="R205" s="2"/>
      <c r="S205" s="2"/>
    </row>
    <row r="206" spans="1:19" x14ac:dyDescent="0.3">
      <c r="A206" s="2"/>
      <c r="B206" s="91" t="s">
        <v>894</v>
      </c>
      <c r="C206" s="90">
        <v>29</v>
      </c>
      <c r="D206" s="91">
        <v>5</v>
      </c>
      <c r="E206" s="91" t="s">
        <v>895</v>
      </c>
      <c r="F206" s="91" t="s">
        <v>899</v>
      </c>
      <c r="G206" s="91">
        <f>AVERAGE(1,2,3,5,6)</f>
        <v>3.4</v>
      </c>
      <c r="H206" s="91">
        <f t="shared" si="3"/>
        <v>13</v>
      </c>
      <c r="I206" s="2"/>
      <c r="J206" s="2"/>
      <c r="K206" s="2"/>
      <c r="L206" s="2"/>
      <c r="M206" s="2"/>
      <c r="N206" s="116" t="s">
        <v>1004</v>
      </c>
      <c r="O206" s="113">
        <v>6.2</v>
      </c>
      <c r="P206" s="2"/>
      <c r="Q206" s="2"/>
      <c r="R206" s="2"/>
      <c r="S206" s="2"/>
    </row>
    <row r="207" spans="1:19" x14ac:dyDescent="0.3">
      <c r="A207" s="2"/>
      <c r="B207" s="91" t="s">
        <v>615</v>
      </c>
      <c r="C207" s="90">
        <v>10</v>
      </c>
      <c r="D207" s="91">
        <v>5</v>
      </c>
      <c r="E207" s="91" t="s">
        <v>616</v>
      </c>
      <c r="F207" s="91" t="s">
        <v>620</v>
      </c>
      <c r="G207" s="91">
        <f>AVERAGE(1,2,3,4,6)</f>
        <v>3.2</v>
      </c>
      <c r="H207" s="91">
        <f t="shared" si="3"/>
        <v>10</v>
      </c>
      <c r="I207" s="2"/>
      <c r="J207" s="2"/>
      <c r="K207" s="2"/>
      <c r="L207" s="2"/>
      <c r="M207" s="2"/>
      <c r="N207" s="116" t="s">
        <v>567</v>
      </c>
      <c r="O207" s="113">
        <v>6.2</v>
      </c>
      <c r="P207" s="2"/>
      <c r="Q207" s="2"/>
      <c r="R207" s="2"/>
      <c r="S207" s="2"/>
    </row>
    <row r="208" spans="1:19" x14ac:dyDescent="0.3">
      <c r="A208" s="2"/>
      <c r="B208" s="91" t="s">
        <v>691</v>
      </c>
      <c r="C208" s="90">
        <v>16</v>
      </c>
      <c r="D208" s="91">
        <v>5</v>
      </c>
      <c r="E208" s="91" t="s">
        <v>683</v>
      </c>
      <c r="F208" s="91" t="s">
        <v>693</v>
      </c>
      <c r="G208" s="91">
        <f>AVERAGE(1,2,3,4,6)</f>
        <v>3.2</v>
      </c>
      <c r="H208" s="91">
        <f t="shared" si="3"/>
        <v>10</v>
      </c>
      <c r="I208" s="2"/>
      <c r="J208" s="2"/>
      <c r="K208" s="2"/>
      <c r="L208" s="2"/>
      <c r="M208" s="2"/>
      <c r="N208" s="116" t="s">
        <v>832</v>
      </c>
      <c r="O208" s="113">
        <v>6.166666666666667</v>
      </c>
      <c r="P208" s="2"/>
      <c r="Q208" s="2"/>
      <c r="R208" s="2"/>
      <c r="S208" s="2"/>
    </row>
    <row r="209" spans="1:19" x14ac:dyDescent="0.3">
      <c r="A209" s="2"/>
      <c r="B209" s="91" t="s">
        <v>534</v>
      </c>
      <c r="C209" s="90">
        <v>4</v>
      </c>
      <c r="D209" s="91">
        <v>5</v>
      </c>
      <c r="E209" s="91" t="s">
        <v>525</v>
      </c>
      <c r="F209" s="91" t="s">
        <v>526</v>
      </c>
      <c r="G209" s="91">
        <f>AVERAGE(1,2,3,4,5)</f>
        <v>3</v>
      </c>
      <c r="H209" s="91">
        <f t="shared" si="3"/>
        <v>8</v>
      </c>
      <c r="I209" s="2"/>
      <c r="J209" s="2"/>
      <c r="K209" s="2"/>
      <c r="L209" s="2"/>
      <c r="M209" s="2"/>
      <c r="N209" s="116" t="s">
        <v>927</v>
      </c>
      <c r="O209" s="113">
        <v>6</v>
      </c>
      <c r="P209" s="2"/>
      <c r="Q209" s="2"/>
      <c r="R209" s="2"/>
      <c r="S209" s="2"/>
    </row>
    <row r="210" spans="1:19" x14ac:dyDescent="0.3">
      <c r="A210" s="2"/>
      <c r="B210" s="91" t="s">
        <v>1109</v>
      </c>
      <c r="C210" s="90">
        <v>5</v>
      </c>
      <c r="D210" s="91">
        <v>5</v>
      </c>
      <c r="E210" s="91" t="s">
        <v>540</v>
      </c>
      <c r="F210" s="91" t="s">
        <v>1112</v>
      </c>
      <c r="G210" s="91">
        <f>AVERAGE(1,2,3,4,5)</f>
        <v>3</v>
      </c>
      <c r="H210" s="91">
        <f t="shared" si="3"/>
        <v>8</v>
      </c>
      <c r="I210" s="2"/>
      <c r="J210" s="2"/>
      <c r="K210" s="2"/>
      <c r="L210" s="2"/>
      <c r="M210" s="2"/>
      <c r="N210" s="116" t="s">
        <v>564</v>
      </c>
      <c r="O210" s="113">
        <v>5.833333333333333</v>
      </c>
      <c r="P210" s="2"/>
      <c r="Q210" s="2"/>
      <c r="R210" s="2"/>
      <c r="S210" s="2"/>
    </row>
    <row r="211" spans="1:19" x14ac:dyDescent="0.3">
      <c r="A211" s="2"/>
      <c r="B211" s="91" t="s">
        <v>851</v>
      </c>
      <c r="C211" s="90">
        <v>26</v>
      </c>
      <c r="D211" s="91">
        <v>6</v>
      </c>
      <c r="E211" s="91" t="s">
        <v>846</v>
      </c>
      <c r="F211" s="91" t="s">
        <v>850</v>
      </c>
      <c r="G211" s="91">
        <f>AVERAGE(2,11,13,14,16,17)</f>
        <v>12.166666666666666</v>
      </c>
      <c r="H211" s="91">
        <f t="shared" si="3"/>
        <v>101</v>
      </c>
      <c r="I211" s="2"/>
      <c r="J211" s="2"/>
      <c r="K211" s="2"/>
      <c r="L211" s="2"/>
      <c r="M211" s="2"/>
      <c r="N211" s="116" t="s">
        <v>1053</v>
      </c>
      <c r="O211" s="113">
        <v>5.75</v>
      </c>
      <c r="P211" s="2"/>
      <c r="Q211" s="2"/>
      <c r="R211" s="2"/>
      <c r="S211" s="2"/>
    </row>
    <row r="212" spans="1:19" x14ac:dyDescent="0.3">
      <c r="A212" s="2"/>
      <c r="B212" s="91" t="s">
        <v>939</v>
      </c>
      <c r="C212" s="90">
        <v>33</v>
      </c>
      <c r="D212" s="91">
        <v>6</v>
      </c>
      <c r="E212" s="91" t="s">
        <v>940</v>
      </c>
      <c r="F212" s="91" t="s">
        <v>945</v>
      </c>
      <c r="G212" s="91">
        <f>AVERAGE(5,7,10,11,17,18)</f>
        <v>11.333333333333334</v>
      </c>
      <c r="H212" s="91">
        <f t="shared" si="3"/>
        <v>98</v>
      </c>
      <c r="I212" s="2"/>
      <c r="J212" s="2"/>
      <c r="K212" s="2"/>
      <c r="L212" s="2"/>
      <c r="M212" s="2"/>
      <c r="N212" s="116" t="s">
        <v>901</v>
      </c>
      <c r="O212" s="113">
        <v>5.6</v>
      </c>
      <c r="P212" s="2"/>
      <c r="Q212" s="2"/>
      <c r="R212" s="2"/>
      <c r="S212" s="2"/>
    </row>
    <row r="213" spans="1:19" x14ac:dyDescent="0.3">
      <c r="A213" s="2"/>
      <c r="B213" s="91" t="s">
        <v>946</v>
      </c>
      <c r="C213" s="90">
        <v>33</v>
      </c>
      <c r="D213" s="91">
        <v>6</v>
      </c>
      <c r="E213" s="91" t="s">
        <v>947</v>
      </c>
      <c r="F213" s="91" t="s">
        <v>952</v>
      </c>
      <c r="G213" s="91">
        <f>AVERAGE(6,8,12,13,14,15)</f>
        <v>11.333333333333334</v>
      </c>
      <c r="H213" s="91">
        <f t="shared" si="3"/>
        <v>98</v>
      </c>
      <c r="I213" s="2"/>
      <c r="J213" s="2"/>
      <c r="K213" s="2"/>
      <c r="L213" s="2"/>
      <c r="M213" s="2"/>
      <c r="N213" s="116" t="s">
        <v>606</v>
      </c>
      <c r="O213" s="113">
        <v>5.5714285714285712</v>
      </c>
      <c r="P213" s="2"/>
      <c r="Q213" s="2"/>
      <c r="R213" s="2"/>
      <c r="S213" s="2"/>
    </row>
    <row r="214" spans="1:19" x14ac:dyDescent="0.3">
      <c r="A214" s="2"/>
      <c r="B214" s="91" t="s">
        <v>738</v>
      </c>
      <c r="C214" s="90">
        <v>20</v>
      </c>
      <c r="D214" s="91">
        <v>6</v>
      </c>
      <c r="E214" s="91" t="s">
        <v>739</v>
      </c>
      <c r="F214" s="91" t="s">
        <v>743</v>
      </c>
      <c r="G214" s="91">
        <f>AVERAGE(6,8,9,10,14,17)</f>
        <v>10.666666666666666</v>
      </c>
      <c r="H214" s="91">
        <f t="shared" si="3"/>
        <v>95</v>
      </c>
      <c r="I214" s="2"/>
      <c r="J214" s="2"/>
      <c r="K214" s="2"/>
      <c r="L214" s="2"/>
      <c r="M214" s="2"/>
      <c r="N214" s="116" t="s">
        <v>719</v>
      </c>
      <c r="O214" s="113">
        <v>5.5</v>
      </c>
      <c r="P214" s="2"/>
      <c r="Q214" s="2"/>
      <c r="R214" s="2"/>
      <c r="S214" s="2"/>
    </row>
    <row r="215" spans="1:19" x14ac:dyDescent="0.3">
      <c r="A215" s="2"/>
      <c r="B215" s="91" t="s">
        <v>780</v>
      </c>
      <c r="C215" s="90">
        <v>22</v>
      </c>
      <c r="D215" s="91">
        <v>6</v>
      </c>
      <c r="E215" s="91" t="s">
        <v>781</v>
      </c>
      <c r="F215" s="91" t="s">
        <v>786</v>
      </c>
      <c r="G215" s="91">
        <f>AVERAGE(6,9,10,11,12,13)</f>
        <v>10.166666666666666</v>
      </c>
      <c r="H215" s="91">
        <f t="shared" si="3"/>
        <v>93</v>
      </c>
      <c r="I215" s="2"/>
      <c r="J215" s="2"/>
      <c r="K215" s="2"/>
      <c r="L215" s="2"/>
      <c r="M215" s="2"/>
      <c r="N215" s="116" t="s">
        <v>552</v>
      </c>
      <c r="O215" s="113">
        <v>5.2857142857142856</v>
      </c>
      <c r="P215" s="2"/>
      <c r="Q215" s="2"/>
      <c r="R215" s="2"/>
      <c r="S215" s="2"/>
    </row>
    <row r="216" spans="1:19" x14ac:dyDescent="0.3">
      <c r="A216" s="2"/>
      <c r="B216" s="91" t="s">
        <v>744</v>
      </c>
      <c r="C216" s="90">
        <v>20</v>
      </c>
      <c r="D216" s="91">
        <v>6</v>
      </c>
      <c r="E216" s="91" t="s">
        <v>568</v>
      </c>
      <c r="F216" s="91" t="s">
        <v>749</v>
      </c>
      <c r="G216" s="91">
        <f>AVERAGE(1,4,11,12,13,15)</f>
        <v>9.3333333333333339</v>
      </c>
      <c r="H216" s="91">
        <f t="shared" si="3"/>
        <v>88</v>
      </c>
      <c r="I216" s="2"/>
      <c r="J216" s="2"/>
      <c r="K216" s="2"/>
      <c r="L216" s="2"/>
      <c r="M216" s="2"/>
      <c r="N216" s="116" t="s">
        <v>669</v>
      </c>
      <c r="O216" s="113">
        <v>5.2857142857142856</v>
      </c>
      <c r="P216" s="2"/>
      <c r="Q216" s="2"/>
      <c r="R216" s="2"/>
      <c r="S216" s="2"/>
    </row>
    <row r="217" spans="1:19" x14ac:dyDescent="0.3">
      <c r="A217" s="2"/>
      <c r="B217" s="91" t="s">
        <v>1021</v>
      </c>
      <c r="C217" s="90">
        <v>38</v>
      </c>
      <c r="D217" s="91">
        <v>6</v>
      </c>
      <c r="E217" s="91" t="s">
        <v>1022</v>
      </c>
      <c r="F217" s="91" t="s">
        <v>1025</v>
      </c>
      <c r="G217" s="91">
        <f>AVERAGE(2,3,6,8,12,13)</f>
        <v>7.333333333333333</v>
      </c>
      <c r="H217" s="91">
        <f t="shared" si="3"/>
        <v>68</v>
      </c>
      <c r="I217" s="2"/>
      <c r="J217" s="2"/>
      <c r="K217" s="2"/>
      <c r="L217" s="2"/>
      <c r="M217" s="2"/>
      <c r="N217" s="116" t="s">
        <v>961</v>
      </c>
      <c r="O217" s="113">
        <v>5</v>
      </c>
      <c r="P217" s="2"/>
      <c r="Q217" s="2"/>
      <c r="R217" s="2"/>
      <c r="S217" s="2"/>
    </row>
    <row r="218" spans="1:19" x14ac:dyDescent="0.3">
      <c r="A218" s="2"/>
      <c r="B218" s="91" t="s">
        <v>1042</v>
      </c>
      <c r="C218" s="90">
        <v>39</v>
      </c>
      <c r="D218" s="91">
        <v>6</v>
      </c>
      <c r="E218" s="91" t="s">
        <v>1043</v>
      </c>
      <c r="F218" s="91" t="s">
        <v>1048</v>
      </c>
      <c r="G218" s="91">
        <f>AVERAGE(1,4,5,6,13,15)</f>
        <v>7.333333333333333</v>
      </c>
      <c r="H218" s="91">
        <f t="shared" si="3"/>
        <v>68</v>
      </c>
      <c r="I218" s="2"/>
      <c r="J218" s="2"/>
      <c r="K218" s="2"/>
      <c r="L218" s="2"/>
      <c r="M218" s="2"/>
      <c r="N218" s="116" t="s">
        <v>839</v>
      </c>
      <c r="O218" s="113">
        <v>5</v>
      </c>
      <c r="P218" s="2"/>
      <c r="Q218" s="2"/>
      <c r="R218" s="2"/>
      <c r="S218" s="2"/>
    </row>
    <row r="219" spans="1:19" x14ac:dyDescent="0.3">
      <c r="A219" s="2"/>
      <c r="B219" s="91" t="s">
        <v>874</v>
      </c>
      <c r="C219" s="90">
        <v>28</v>
      </c>
      <c r="D219" s="91">
        <v>6</v>
      </c>
      <c r="E219" s="91" t="s">
        <v>875</v>
      </c>
      <c r="F219" s="91" t="s">
        <v>880</v>
      </c>
      <c r="G219" s="91">
        <f>AVERAGE(3,4,6,8,10,11)</f>
        <v>7</v>
      </c>
      <c r="H219" s="91">
        <f t="shared" si="3"/>
        <v>58</v>
      </c>
      <c r="I219" s="2"/>
      <c r="J219" s="2"/>
      <c r="K219" s="2"/>
      <c r="L219" s="2"/>
      <c r="M219" s="2"/>
      <c r="N219" s="116" t="s">
        <v>882</v>
      </c>
      <c r="O219" s="113">
        <v>4.8</v>
      </c>
      <c r="P219" s="2"/>
      <c r="Q219" s="2"/>
      <c r="R219" s="2"/>
      <c r="S219" s="2"/>
    </row>
    <row r="220" spans="1:19" x14ac:dyDescent="0.3">
      <c r="A220" s="2"/>
      <c r="B220" s="91" t="s">
        <v>772</v>
      </c>
      <c r="C220" s="90">
        <v>26</v>
      </c>
      <c r="D220" s="91">
        <v>6</v>
      </c>
      <c r="E220" s="91" t="s">
        <v>69</v>
      </c>
      <c r="F220" s="91" t="s">
        <v>857</v>
      </c>
      <c r="G220" s="91">
        <f>AVERAGE(1,2,7,9,10,12)</f>
        <v>6.833333333333333</v>
      </c>
      <c r="H220" s="91">
        <f t="shared" si="3"/>
        <v>57</v>
      </c>
      <c r="I220" s="2"/>
      <c r="J220" s="2"/>
      <c r="K220" s="2"/>
      <c r="L220" s="2"/>
      <c r="M220" s="2"/>
      <c r="N220" s="116" t="s">
        <v>1150</v>
      </c>
      <c r="O220" s="113">
        <v>4.8</v>
      </c>
      <c r="P220" s="2"/>
      <c r="Q220" s="2"/>
      <c r="R220" s="2"/>
      <c r="S220" s="2"/>
    </row>
    <row r="221" spans="1:19" x14ac:dyDescent="0.3">
      <c r="A221" s="2"/>
      <c r="B221" s="91" t="s">
        <v>1027</v>
      </c>
      <c r="C221" s="90">
        <v>38</v>
      </c>
      <c r="D221" s="91">
        <v>6</v>
      </c>
      <c r="E221" s="91" t="s">
        <v>1028</v>
      </c>
      <c r="F221" s="91" t="s">
        <v>1034</v>
      </c>
      <c r="G221" s="91">
        <f>AVERAGE(1,4,5,9,10,11)</f>
        <v>6.666666666666667</v>
      </c>
      <c r="H221" s="91">
        <f t="shared" si="3"/>
        <v>53</v>
      </c>
      <c r="I221" s="2"/>
      <c r="J221" s="2"/>
      <c r="K221" s="2"/>
      <c r="L221" s="2"/>
      <c r="M221" s="2"/>
      <c r="N221" s="116" t="s">
        <v>622</v>
      </c>
      <c r="O221" s="113">
        <v>4.666666666666667</v>
      </c>
      <c r="P221" s="2"/>
      <c r="Q221" s="2"/>
      <c r="R221" s="2"/>
      <c r="S221" s="2"/>
    </row>
    <row r="222" spans="1:19" x14ac:dyDescent="0.3">
      <c r="A222" s="2"/>
      <c r="B222" s="91" t="s">
        <v>832</v>
      </c>
      <c r="C222" s="90">
        <v>25</v>
      </c>
      <c r="D222" s="91">
        <v>6</v>
      </c>
      <c r="E222" s="91" t="s">
        <v>1117</v>
      </c>
      <c r="F222" s="91" t="s">
        <v>838</v>
      </c>
      <c r="G222" s="91">
        <f>AVERAGE(2,2,5,8,9,11)</f>
        <v>6.166666666666667</v>
      </c>
      <c r="H222" s="91">
        <f t="shared" si="3"/>
        <v>45</v>
      </c>
      <c r="I222" s="2"/>
      <c r="J222" s="2"/>
      <c r="K222" s="2"/>
      <c r="L222" s="2"/>
      <c r="M222" s="2"/>
      <c r="N222" s="116" t="s">
        <v>932</v>
      </c>
      <c r="O222" s="113">
        <v>4.666666666666667</v>
      </c>
      <c r="P222" s="2"/>
      <c r="Q222" s="2"/>
      <c r="R222" s="2"/>
      <c r="S222" s="2"/>
    </row>
    <row r="223" spans="1:19" x14ac:dyDescent="0.3">
      <c r="A223" s="2"/>
      <c r="B223" s="91" t="s">
        <v>564</v>
      </c>
      <c r="C223" s="90">
        <v>6</v>
      </c>
      <c r="D223" s="91">
        <v>6</v>
      </c>
      <c r="E223" s="91" t="s">
        <v>555</v>
      </c>
      <c r="F223" s="91" t="s">
        <v>563</v>
      </c>
      <c r="G223" s="91">
        <f>AVERAGE(2,3,4,7,9,10)</f>
        <v>5.833333333333333</v>
      </c>
      <c r="H223" s="91">
        <f t="shared" si="3"/>
        <v>43</v>
      </c>
      <c r="I223" s="2"/>
      <c r="J223" s="2"/>
      <c r="K223" s="2"/>
      <c r="L223" s="2"/>
      <c r="M223" s="2"/>
      <c r="N223" s="116" t="s">
        <v>982</v>
      </c>
      <c r="O223" s="113">
        <v>4.5714285714285712</v>
      </c>
      <c r="P223" s="2"/>
      <c r="Q223" s="2"/>
      <c r="R223" s="2"/>
      <c r="S223" s="2"/>
    </row>
    <row r="224" spans="1:19" x14ac:dyDescent="0.3">
      <c r="A224" s="2"/>
      <c r="B224" s="91" t="s">
        <v>961</v>
      </c>
      <c r="C224" s="90">
        <v>34</v>
      </c>
      <c r="D224" s="91">
        <v>6</v>
      </c>
      <c r="E224" s="91" t="s">
        <v>965</v>
      </c>
      <c r="F224" s="91" t="s">
        <v>967</v>
      </c>
      <c r="G224" s="91">
        <f>AVERAGE(1,2,3,4,9,11)</f>
        <v>5</v>
      </c>
      <c r="H224" s="91">
        <f t="shared" si="3"/>
        <v>35</v>
      </c>
      <c r="I224" s="2"/>
      <c r="J224" s="2"/>
      <c r="K224" s="2"/>
      <c r="L224" s="2"/>
      <c r="M224" s="2"/>
      <c r="N224" s="116" t="s">
        <v>871</v>
      </c>
      <c r="O224" s="113">
        <v>4.5</v>
      </c>
      <c r="P224" s="2"/>
      <c r="Q224" s="2"/>
      <c r="R224" s="2"/>
      <c r="S224" s="2"/>
    </row>
    <row r="225" spans="1:19" x14ac:dyDescent="0.3">
      <c r="A225" s="2"/>
      <c r="B225" s="91" t="s">
        <v>622</v>
      </c>
      <c r="C225" s="90">
        <v>11</v>
      </c>
      <c r="D225" s="91">
        <v>6</v>
      </c>
      <c r="E225" s="91" t="s">
        <v>623</v>
      </c>
      <c r="F225" s="91" t="s">
        <v>628</v>
      </c>
      <c r="G225" s="91">
        <f>AVERAGE(2,3,4,5,6,8)</f>
        <v>4.666666666666667</v>
      </c>
      <c r="H225" s="91">
        <f t="shared" si="3"/>
        <v>31</v>
      </c>
      <c r="I225" s="2"/>
      <c r="J225" s="2"/>
      <c r="K225" s="2"/>
      <c r="L225" s="2"/>
      <c r="M225" s="2"/>
      <c r="N225" s="116" t="s">
        <v>1151</v>
      </c>
      <c r="O225" s="113">
        <v>4.5</v>
      </c>
      <c r="P225" s="2"/>
      <c r="Q225" s="2"/>
      <c r="R225" s="2"/>
      <c r="S225" s="2"/>
    </row>
    <row r="226" spans="1:19" x14ac:dyDescent="0.3">
      <c r="A226" s="2"/>
      <c r="B226" s="91" t="s">
        <v>932</v>
      </c>
      <c r="C226" s="90">
        <v>32</v>
      </c>
      <c r="D226" s="91">
        <v>6</v>
      </c>
      <c r="E226" s="91" t="s">
        <v>933</v>
      </c>
      <c r="F226" s="91" t="s">
        <v>937</v>
      </c>
      <c r="G226" s="91">
        <f>AVERAGE(1,2,4,5,7,9)</f>
        <v>4.666666666666667</v>
      </c>
      <c r="H226" s="91">
        <f t="shared" si="3"/>
        <v>31</v>
      </c>
      <c r="I226" s="2"/>
      <c r="J226" s="2"/>
      <c r="K226" s="2"/>
      <c r="L226" s="2"/>
      <c r="M226" s="2"/>
      <c r="N226" s="116" t="s">
        <v>682</v>
      </c>
      <c r="O226" s="113">
        <v>4.4000000000000004</v>
      </c>
      <c r="P226" s="2"/>
      <c r="Q226" s="2"/>
      <c r="R226" s="2"/>
      <c r="S226" s="2"/>
    </row>
    <row r="227" spans="1:19" x14ac:dyDescent="0.3">
      <c r="A227" s="2"/>
      <c r="B227" s="91" t="s">
        <v>871</v>
      </c>
      <c r="C227" s="90">
        <v>27</v>
      </c>
      <c r="D227" s="91">
        <v>6</v>
      </c>
      <c r="E227" s="91" t="s">
        <v>865</v>
      </c>
      <c r="F227" s="91" t="s">
        <v>861</v>
      </c>
      <c r="G227" s="91">
        <f>AVERAGE(1,2,3,5,7,9)</f>
        <v>4.5</v>
      </c>
      <c r="H227" s="91">
        <f t="shared" si="3"/>
        <v>28</v>
      </c>
      <c r="I227" s="2"/>
      <c r="J227" s="2"/>
      <c r="K227" s="2"/>
      <c r="L227" s="2"/>
      <c r="M227" s="2"/>
      <c r="N227" s="116" t="s">
        <v>772</v>
      </c>
      <c r="O227" s="113">
        <v>4.2857142857142856</v>
      </c>
      <c r="P227" s="2"/>
      <c r="Q227" s="2"/>
      <c r="R227" s="2"/>
      <c r="S227" s="2"/>
    </row>
    <row r="228" spans="1:19" x14ac:dyDescent="0.3">
      <c r="A228" s="2"/>
      <c r="B228" s="91" t="s">
        <v>737</v>
      </c>
      <c r="C228" s="90">
        <v>12</v>
      </c>
      <c r="D228" s="91">
        <v>6</v>
      </c>
      <c r="E228" s="91" t="s">
        <v>635</v>
      </c>
      <c r="F228" s="91" t="s">
        <v>640</v>
      </c>
      <c r="G228" s="91">
        <f>AVERAGE(1,2,4,5,6,7)</f>
        <v>4.166666666666667</v>
      </c>
      <c r="H228" s="91">
        <f t="shared" si="3"/>
        <v>22</v>
      </c>
      <c r="I228" s="2"/>
      <c r="J228" s="2"/>
      <c r="K228" s="2"/>
      <c r="L228" s="2"/>
      <c r="M228" s="2"/>
      <c r="N228" s="116" t="s">
        <v>663</v>
      </c>
      <c r="O228" s="113">
        <v>4.25</v>
      </c>
      <c r="P228" s="2"/>
      <c r="Q228" s="2"/>
      <c r="R228" s="2"/>
      <c r="S228" s="2"/>
    </row>
    <row r="229" spans="1:19" x14ac:dyDescent="0.3">
      <c r="A229" s="2"/>
      <c r="B229" s="91" t="s">
        <v>796</v>
      </c>
      <c r="C229" s="90">
        <v>23</v>
      </c>
      <c r="D229" s="91">
        <v>6</v>
      </c>
      <c r="E229" s="91" t="s">
        <v>797</v>
      </c>
      <c r="F229" s="91" t="s">
        <v>802</v>
      </c>
      <c r="G229" s="91">
        <f>AVERAGE(1,2,3,5,6,7)</f>
        <v>4</v>
      </c>
      <c r="H229" s="91">
        <f t="shared" si="3"/>
        <v>18</v>
      </c>
      <c r="I229" s="2"/>
      <c r="J229" s="2"/>
      <c r="K229" s="2"/>
      <c r="L229" s="2"/>
      <c r="M229" s="2"/>
      <c r="N229" s="116" t="s">
        <v>864</v>
      </c>
      <c r="O229" s="113">
        <v>4.2</v>
      </c>
      <c r="P229" s="2"/>
      <c r="Q229" s="2"/>
      <c r="R229" s="2"/>
      <c r="S229" s="2"/>
    </row>
    <row r="230" spans="1:19" x14ac:dyDescent="0.3">
      <c r="A230" s="2"/>
      <c r="B230" s="91" t="s">
        <v>583</v>
      </c>
      <c r="C230" s="90">
        <v>8</v>
      </c>
      <c r="D230" s="91">
        <v>6</v>
      </c>
      <c r="E230" s="91" t="s">
        <v>588</v>
      </c>
      <c r="F230" s="91" t="s">
        <v>593</v>
      </c>
      <c r="G230" s="91">
        <f>AVERAGE(1,2,3,4,5,7)</f>
        <v>3.6666666666666665</v>
      </c>
      <c r="H230" s="91">
        <f t="shared" si="3"/>
        <v>15</v>
      </c>
      <c r="I230" s="2"/>
      <c r="J230" s="2"/>
      <c r="K230" s="2"/>
      <c r="L230" s="2"/>
      <c r="M230" s="2"/>
      <c r="N230" s="116" t="s">
        <v>579</v>
      </c>
      <c r="O230" s="113">
        <v>4.2</v>
      </c>
      <c r="P230" s="2"/>
      <c r="Q230" s="2"/>
      <c r="R230" s="2"/>
      <c r="S230" s="2"/>
    </row>
    <row r="231" spans="1:19" x14ac:dyDescent="0.3">
      <c r="A231" s="2"/>
      <c r="B231" s="91" t="s">
        <v>788</v>
      </c>
      <c r="C231" s="90">
        <v>23</v>
      </c>
      <c r="D231" s="91">
        <v>7</v>
      </c>
      <c r="E231" s="91" t="s">
        <v>789</v>
      </c>
      <c r="F231" s="91" t="s">
        <v>1114</v>
      </c>
      <c r="G231" s="91">
        <f>AVERAGE(4,8,9,10,11,12,15)</f>
        <v>9.8571428571428577</v>
      </c>
      <c r="H231" s="91">
        <f t="shared" si="3"/>
        <v>92</v>
      </c>
      <c r="I231" s="2"/>
      <c r="J231" s="2"/>
      <c r="K231" s="2"/>
      <c r="L231" s="2"/>
      <c r="M231" s="2"/>
      <c r="N231" s="116" t="s">
        <v>737</v>
      </c>
      <c r="O231" s="113">
        <v>4.166666666666667</v>
      </c>
      <c r="P231" s="2"/>
      <c r="Q231" s="2"/>
      <c r="R231" s="2"/>
      <c r="S231" s="2"/>
    </row>
    <row r="232" spans="1:19" x14ac:dyDescent="0.3">
      <c r="A232" s="2"/>
      <c r="B232" s="91" t="s">
        <v>728</v>
      </c>
      <c r="C232" s="90">
        <v>19</v>
      </c>
      <c r="D232" s="91">
        <v>7</v>
      </c>
      <c r="E232" s="91" t="s">
        <v>729</v>
      </c>
      <c r="F232" s="91" t="s">
        <v>735</v>
      </c>
      <c r="G232" s="91">
        <f>AVERAGE(4,6,7,8,9,10,11)</f>
        <v>7.8571428571428568</v>
      </c>
      <c r="H232" s="91">
        <f t="shared" si="3"/>
        <v>73</v>
      </c>
      <c r="I232" s="2"/>
      <c r="J232" s="2"/>
      <c r="K232" s="2"/>
      <c r="L232" s="2"/>
      <c r="M232" s="2"/>
      <c r="N232" s="116" t="s">
        <v>750</v>
      </c>
      <c r="O232" s="113">
        <v>4</v>
      </c>
      <c r="P232" s="2"/>
      <c r="Q232" s="2"/>
      <c r="R232" s="2"/>
      <c r="S232" s="2"/>
    </row>
    <row r="233" spans="1:19" x14ac:dyDescent="0.3">
      <c r="A233" s="2"/>
      <c r="B233" s="91" t="s">
        <v>703</v>
      </c>
      <c r="C233" s="90">
        <v>17</v>
      </c>
      <c r="D233" s="91">
        <v>7</v>
      </c>
      <c r="E233" s="91" t="s">
        <v>704</v>
      </c>
      <c r="F233" s="91" t="s">
        <v>696</v>
      </c>
      <c r="G233" s="91">
        <f>AVERAGE(1,2,7,8,9,10,15)</f>
        <v>7.4285714285714288</v>
      </c>
      <c r="H233" s="91">
        <f t="shared" si="3"/>
        <v>70</v>
      </c>
      <c r="I233" s="2"/>
      <c r="J233" s="2"/>
      <c r="K233" s="2"/>
      <c r="L233" s="2"/>
      <c r="M233" s="2"/>
      <c r="N233" s="116" t="s">
        <v>1061</v>
      </c>
      <c r="O233" s="113">
        <v>4</v>
      </c>
      <c r="P233" s="2"/>
      <c r="Q233" s="2"/>
      <c r="R233" s="2"/>
      <c r="S233" s="2"/>
    </row>
    <row r="234" spans="1:19" x14ac:dyDescent="0.3">
      <c r="A234" s="2"/>
      <c r="B234" s="91" t="s">
        <v>968</v>
      </c>
      <c r="C234" s="90">
        <v>34</v>
      </c>
      <c r="D234" s="91">
        <v>7</v>
      </c>
      <c r="E234" s="91" t="s">
        <v>965</v>
      </c>
      <c r="F234" s="91" t="s">
        <v>974</v>
      </c>
      <c r="G234" s="91">
        <f>AVERAGE(1,5,6,7,8,10,12)</f>
        <v>7</v>
      </c>
      <c r="H234" s="91">
        <f t="shared" si="3"/>
        <v>58</v>
      </c>
      <c r="I234" s="2"/>
      <c r="J234" s="2"/>
      <c r="K234" s="2"/>
      <c r="L234" s="2"/>
      <c r="M234" s="2"/>
      <c r="N234" s="116" t="s">
        <v>493</v>
      </c>
      <c r="O234" s="113">
        <v>4</v>
      </c>
      <c r="P234" s="2"/>
      <c r="Q234" s="2"/>
      <c r="R234" s="2"/>
      <c r="S234" s="2"/>
    </row>
    <row r="235" spans="1:19" x14ac:dyDescent="0.3">
      <c r="A235" s="2"/>
      <c r="B235" s="91" t="s">
        <v>695</v>
      </c>
      <c r="C235" s="90">
        <v>17</v>
      </c>
      <c r="D235" s="91">
        <v>7</v>
      </c>
      <c r="E235" s="91" t="s">
        <v>696</v>
      </c>
      <c r="F235" s="91" t="s">
        <v>702</v>
      </c>
      <c r="G235" s="91">
        <f>AVERAGE(2,3,4,5,6,13,14)</f>
        <v>6.7142857142857144</v>
      </c>
      <c r="H235" s="91">
        <f t="shared" si="3"/>
        <v>54</v>
      </c>
      <c r="I235" s="2"/>
      <c r="J235" s="2"/>
      <c r="K235" s="2"/>
      <c r="L235" s="2"/>
      <c r="M235" s="2"/>
      <c r="N235" s="116" t="s">
        <v>796</v>
      </c>
      <c r="O235" s="113">
        <v>4</v>
      </c>
      <c r="P235" s="2"/>
      <c r="Q235" s="2"/>
      <c r="R235" s="2"/>
      <c r="S235" s="2"/>
    </row>
    <row r="236" spans="1:19" x14ac:dyDescent="0.3">
      <c r="A236" s="2"/>
      <c r="B236" s="91" t="s">
        <v>913</v>
      </c>
      <c r="C236" s="90">
        <v>31</v>
      </c>
      <c r="D236" s="91">
        <v>7</v>
      </c>
      <c r="E236" s="91" t="s">
        <v>914</v>
      </c>
      <c r="F236" s="91" t="s">
        <v>920</v>
      </c>
      <c r="G236" s="91">
        <f>AVERAGE(1,3,5,6,8,9,12)</f>
        <v>6.2857142857142856</v>
      </c>
      <c r="H236" s="91">
        <f t="shared" si="3"/>
        <v>48</v>
      </c>
      <c r="I236" s="2"/>
      <c r="J236" s="2"/>
      <c r="K236" s="2"/>
      <c r="L236" s="2"/>
      <c r="M236" s="2"/>
      <c r="N236" s="116" t="s">
        <v>953</v>
      </c>
      <c r="O236" s="113">
        <v>3.8</v>
      </c>
      <c r="P236" s="2"/>
      <c r="Q236" s="2"/>
      <c r="R236" s="2"/>
      <c r="S236" s="2"/>
    </row>
    <row r="237" spans="1:19" x14ac:dyDescent="0.3">
      <c r="A237" s="2"/>
      <c r="B237" s="91" t="s">
        <v>606</v>
      </c>
      <c r="C237" s="90">
        <v>9</v>
      </c>
      <c r="D237" s="91">
        <v>7</v>
      </c>
      <c r="E237" s="91" t="s">
        <v>607</v>
      </c>
      <c r="F237" s="91" t="s">
        <v>613</v>
      </c>
      <c r="G237" s="91">
        <f>AVERAGE(2,3,4,5,6,7,12)</f>
        <v>5.5714285714285712</v>
      </c>
      <c r="H237" s="91">
        <f t="shared" ref="H237:H244" si="4">_xlfn.RANK.EQ($G237,$G$141:$G$244,1)</f>
        <v>40</v>
      </c>
      <c r="I237" s="2"/>
      <c r="J237" s="2"/>
      <c r="K237" s="2"/>
      <c r="L237" s="2"/>
      <c r="M237" s="2"/>
      <c r="N237" s="116" t="s">
        <v>507</v>
      </c>
      <c r="O237" s="113">
        <v>3.8</v>
      </c>
      <c r="P237" s="2"/>
      <c r="Q237" s="2"/>
      <c r="R237" s="2"/>
      <c r="S237" s="2"/>
    </row>
    <row r="238" spans="1:19" x14ac:dyDescent="0.3">
      <c r="A238" s="2"/>
      <c r="B238" s="91" t="s">
        <v>552</v>
      </c>
      <c r="C238" s="90">
        <v>6</v>
      </c>
      <c r="D238" s="91">
        <v>7</v>
      </c>
      <c r="E238" s="91" t="s">
        <v>554</v>
      </c>
      <c r="F238" s="91" t="s">
        <v>560</v>
      </c>
      <c r="G238" s="91">
        <f>AVERAGE(1,2,3,5,7,8,11)</f>
        <v>5.2857142857142856</v>
      </c>
      <c r="H238" s="91">
        <f t="shared" si="4"/>
        <v>37</v>
      </c>
      <c r="I238" s="2"/>
      <c r="J238" s="2"/>
      <c r="K238" s="2"/>
      <c r="L238" s="2"/>
      <c r="M238" s="2"/>
      <c r="N238" s="116" t="s">
        <v>583</v>
      </c>
      <c r="O238" s="113">
        <v>3.6666666666666665</v>
      </c>
      <c r="P238" s="2"/>
      <c r="Q238" s="2"/>
      <c r="R238" s="2"/>
      <c r="S238" s="2"/>
    </row>
    <row r="239" spans="1:19" x14ac:dyDescent="0.3">
      <c r="A239" s="2"/>
      <c r="B239" s="91" t="s">
        <v>669</v>
      </c>
      <c r="C239" s="90">
        <v>15</v>
      </c>
      <c r="D239" s="91">
        <v>7</v>
      </c>
      <c r="E239" s="91" t="s">
        <v>670</v>
      </c>
      <c r="F239" s="91" t="s">
        <v>676</v>
      </c>
      <c r="G239" s="91">
        <f>AVERAGE(1,2,3,4,7,8,12)</f>
        <v>5.2857142857142856</v>
      </c>
      <c r="H239" s="91">
        <f t="shared" si="4"/>
        <v>37</v>
      </c>
      <c r="I239" s="2"/>
      <c r="J239" s="2"/>
      <c r="K239" s="2"/>
      <c r="L239" s="2"/>
      <c r="M239" s="2"/>
      <c r="N239" s="116" t="s">
        <v>814</v>
      </c>
      <c r="O239" s="113">
        <v>3.6</v>
      </c>
      <c r="P239" s="2"/>
      <c r="Q239" s="2"/>
      <c r="R239" s="2"/>
      <c r="S239" s="2"/>
    </row>
    <row r="240" spans="1:19" x14ac:dyDescent="0.3">
      <c r="A240" s="2"/>
      <c r="B240" s="91" t="s">
        <v>982</v>
      </c>
      <c r="C240" s="90">
        <v>35</v>
      </c>
      <c r="D240" s="91">
        <v>7</v>
      </c>
      <c r="E240" s="91" t="s">
        <v>983</v>
      </c>
      <c r="F240" s="91" t="s">
        <v>989</v>
      </c>
      <c r="G240" s="91">
        <f>AVERAGE(1,2,3,4,6,7,9)</f>
        <v>4.5714285714285712</v>
      </c>
      <c r="H240" s="91">
        <f t="shared" si="4"/>
        <v>30</v>
      </c>
      <c r="I240" s="2"/>
      <c r="J240" s="2"/>
      <c r="K240" s="2"/>
      <c r="L240" s="2"/>
      <c r="M240" s="2"/>
      <c r="N240" s="116" t="s">
        <v>894</v>
      </c>
      <c r="O240" s="113">
        <v>3.4</v>
      </c>
      <c r="P240" s="2"/>
      <c r="Q240" s="2"/>
      <c r="R240" s="2"/>
      <c r="S240" s="2"/>
    </row>
    <row r="241" spans="1:19" x14ac:dyDescent="0.3">
      <c r="A241" s="2"/>
      <c r="B241" s="91" t="s">
        <v>772</v>
      </c>
      <c r="C241" s="90">
        <v>22</v>
      </c>
      <c r="D241" s="91">
        <v>7</v>
      </c>
      <c r="E241" s="91" t="s">
        <v>773</v>
      </c>
      <c r="F241" s="91" t="s">
        <v>778</v>
      </c>
      <c r="G241" s="91">
        <f>AVERAGE(1,2,3,4,5,7,8)</f>
        <v>4.2857142857142856</v>
      </c>
      <c r="H241" s="91">
        <f t="shared" si="4"/>
        <v>26</v>
      </c>
      <c r="I241" s="2"/>
      <c r="J241" s="2"/>
      <c r="K241" s="2"/>
      <c r="L241" s="2"/>
      <c r="M241" s="2"/>
      <c r="N241" s="116" t="s">
        <v>1153</v>
      </c>
      <c r="O241" s="113">
        <v>3.25</v>
      </c>
      <c r="P241" s="2"/>
      <c r="Q241" s="2"/>
      <c r="R241" s="2"/>
      <c r="S241" s="2"/>
    </row>
    <row r="242" spans="1:19" x14ac:dyDescent="0.3">
      <c r="A242" s="2"/>
      <c r="B242" s="91" t="s">
        <v>1010</v>
      </c>
      <c r="C242" s="90">
        <v>37</v>
      </c>
      <c r="D242" s="91">
        <v>8</v>
      </c>
      <c r="E242" s="91" t="s">
        <v>1011</v>
      </c>
      <c r="F242" s="91" t="s">
        <v>1018</v>
      </c>
      <c r="G242" s="91">
        <f>AVERAGE(2,3,4,5,10,11,12,16)</f>
        <v>7.875</v>
      </c>
      <c r="H242" s="91">
        <f t="shared" si="4"/>
        <v>74</v>
      </c>
      <c r="I242" s="2"/>
      <c r="J242" s="2"/>
      <c r="K242" s="2"/>
      <c r="L242" s="2"/>
      <c r="M242" s="2"/>
      <c r="N242" s="116" t="s">
        <v>691</v>
      </c>
      <c r="O242" s="113">
        <v>3.2</v>
      </c>
      <c r="P242" s="2"/>
      <c r="Q242" s="2"/>
      <c r="R242" s="2"/>
      <c r="S242" s="2"/>
    </row>
    <row r="243" spans="1:19" x14ac:dyDescent="0.3">
      <c r="A243" s="2"/>
      <c r="B243" s="91" t="s">
        <v>1066</v>
      </c>
      <c r="C243" s="90">
        <v>42</v>
      </c>
      <c r="D243" s="91">
        <v>8</v>
      </c>
      <c r="E243" s="91" t="s">
        <v>1067</v>
      </c>
      <c r="F243" s="91" t="s">
        <v>1071</v>
      </c>
      <c r="G243" s="91">
        <f>AVERAGE(2,4,5,6,7,8,10,12)</f>
        <v>6.75</v>
      </c>
      <c r="H243" s="91">
        <f t="shared" si="4"/>
        <v>55</v>
      </c>
      <c r="I243" s="2"/>
      <c r="J243" s="2"/>
      <c r="K243" s="2"/>
      <c r="L243" s="2"/>
      <c r="M243" s="2"/>
      <c r="N243" s="116" t="s">
        <v>615</v>
      </c>
      <c r="O243" s="113">
        <v>3.2</v>
      </c>
      <c r="P243" s="2"/>
      <c r="Q243" s="2"/>
      <c r="R243" s="2"/>
      <c r="S243" s="2"/>
    </row>
    <row r="244" spans="1:19" x14ac:dyDescent="0.3">
      <c r="A244" s="2"/>
      <c r="B244" s="91" t="s">
        <v>991</v>
      </c>
      <c r="C244" s="90">
        <v>36</v>
      </c>
      <c r="D244" s="91">
        <v>8</v>
      </c>
      <c r="E244" s="91" t="s">
        <v>993</v>
      </c>
      <c r="F244" s="91" t="s">
        <v>1000</v>
      </c>
      <c r="G244" s="91">
        <f>AVERAGE(1,2,4,6,7,8,11,14)</f>
        <v>6.625</v>
      </c>
      <c r="H244" s="91">
        <f t="shared" si="4"/>
        <v>52</v>
      </c>
      <c r="I244" s="2"/>
      <c r="J244" s="2"/>
      <c r="K244" s="2"/>
      <c r="L244" s="2"/>
      <c r="M244" s="2"/>
      <c r="N244" s="116" t="s">
        <v>534</v>
      </c>
      <c r="O244" s="113">
        <v>3</v>
      </c>
      <c r="P244" s="2"/>
      <c r="Q244" s="2"/>
      <c r="R244" s="2"/>
      <c r="S244" s="2"/>
    </row>
    <row r="245" spans="1:19" x14ac:dyDescent="0.3">
      <c r="A245" s="2"/>
      <c r="B245" s="2"/>
      <c r="C245" s="2"/>
      <c r="D245" s="2"/>
      <c r="E245" s="2"/>
      <c r="F245" s="2"/>
      <c r="G245" s="2"/>
      <c r="H245" s="2"/>
      <c r="I245" s="2"/>
      <c r="J245" s="2"/>
      <c r="K245" s="2"/>
      <c r="L245" s="2"/>
      <c r="M245" s="2"/>
      <c r="N245" s="116" t="s">
        <v>1109</v>
      </c>
      <c r="O245" s="113">
        <v>3</v>
      </c>
      <c r="P245" s="2"/>
      <c r="Q245" s="2"/>
      <c r="R245" s="2"/>
      <c r="S245" s="2"/>
    </row>
    <row r="246" spans="1:19" x14ac:dyDescent="0.3">
      <c r="A246" s="2"/>
      <c r="B246" s="2"/>
      <c r="C246" s="2"/>
      <c r="D246" s="2"/>
      <c r="E246" s="2"/>
      <c r="F246" s="2"/>
      <c r="G246" s="2"/>
      <c r="H246" s="2"/>
      <c r="I246" s="2"/>
      <c r="J246" s="2"/>
      <c r="K246" s="2"/>
      <c r="L246" s="2"/>
      <c r="M246" s="2"/>
      <c r="N246" s="116" t="s">
        <v>1152</v>
      </c>
      <c r="O246" s="113">
        <v>2.75</v>
      </c>
      <c r="P246" s="2"/>
      <c r="Q246" s="2"/>
      <c r="R246" s="2"/>
      <c r="S246" s="2"/>
    </row>
    <row r="247" spans="1:19" x14ac:dyDescent="0.3">
      <c r="A247" s="2"/>
      <c r="B247" s="2"/>
      <c r="C247" s="2"/>
      <c r="D247" s="2"/>
      <c r="E247" s="2"/>
      <c r="F247" s="2"/>
      <c r="G247" s="2"/>
      <c r="H247" s="2"/>
      <c r="I247" s="2"/>
      <c r="J247" s="2"/>
      <c r="K247" s="2"/>
      <c r="L247" s="2"/>
      <c r="M247" s="2"/>
      <c r="N247" s="116" t="s">
        <v>723</v>
      </c>
      <c r="O247" s="113">
        <v>2.75</v>
      </c>
      <c r="P247" s="2"/>
      <c r="Q247" s="2"/>
      <c r="R247" s="2"/>
      <c r="S247" s="2"/>
    </row>
    <row r="248" spans="1:19" x14ac:dyDescent="0.3">
      <c r="A248" s="2"/>
      <c r="B248" s="2"/>
      <c r="C248" s="2"/>
      <c r="D248" s="2"/>
      <c r="E248" s="2"/>
      <c r="F248" s="2"/>
      <c r="G248" s="2"/>
      <c r="H248" s="2"/>
      <c r="I248" s="2"/>
      <c r="J248" s="2"/>
      <c r="K248" s="2"/>
      <c r="L248" s="2"/>
      <c r="M248" s="2"/>
      <c r="N248" s="116" t="s">
        <v>1093</v>
      </c>
      <c r="O248" s="113">
        <v>2.6666666666666665</v>
      </c>
      <c r="P248" s="2"/>
      <c r="Q248" s="2"/>
      <c r="R248" s="2"/>
      <c r="S248" s="2"/>
    </row>
    <row r="249" spans="1:19" x14ac:dyDescent="0.3">
      <c r="A249" s="2"/>
      <c r="B249" s="2"/>
      <c r="C249" s="2"/>
      <c r="D249" s="2"/>
      <c r="E249" s="2"/>
      <c r="F249" s="2"/>
      <c r="G249" s="2"/>
      <c r="H249" s="2"/>
      <c r="I249" s="2"/>
      <c r="J249" s="2"/>
      <c r="K249" s="2"/>
      <c r="L249" s="2"/>
      <c r="M249" s="2"/>
      <c r="N249" s="116" t="s">
        <v>1149</v>
      </c>
      <c r="O249" s="113">
        <v>2.5</v>
      </c>
      <c r="P249" s="2"/>
      <c r="Q249" s="2"/>
      <c r="R249" s="2"/>
      <c r="S249" s="2"/>
    </row>
    <row r="250" spans="1:19" x14ac:dyDescent="0.3">
      <c r="A250" s="2"/>
      <c r="B250" s="2"/>
      <c r="C250" s="2"/>
      <c r="D250" s="2"/>
      <c r="E250" s="2"/>
      <c r="F250" s="2"/>
      <c r="G250" s="2"/>
      <c r="H250" s="2"/>
      <c r="I250" s="2"/>
      <c r="J250" s="2"/>
      <c r="K250" s="2"/>
      <c r="L250" s="2"/>
      <c r="M250" s="2"/>
      <c r="N250" s="116" t="s">
        <v>1108</v>
      </c>
      <c r="O250" s="113">
        <v>2.5</v>
      </c>
      <c r="P250" s="2"/>
      <c r="Q250" s="2"/>
      <c r="R250" s="2"/>
      <c r="S250" s="2"/>
    </row>
    <row r="251" spans="1:19" x14ac:dyDescent="0.3">
      <c r="A251" s="2"/>
      <c r="B251" s="2"/>
      <c r="C251" s="2"/>
      <c r="D251" s="2"/>
      <c r="E251" s="2"/>
      <c r="F251" s="2"/>
      <c r="G251" s="2"/>
      <c r="H251" s="2"/>
      <c r="I251" s="2"/>
      <c r="J251" s="2"/>
      <c r="K251" s="2"/>
      <c r="L251" s="2"/>
      <c r="M251" s="2"/>
      <c r="N251" s="116" t="s">
        <v>646</v>
      </c>
      <c r="O251" s="113">
        <v>2.5</v>
      </c>
      <c r="P251" s="2"/>
      <c r="Q251" s="2"/>
      <c r="R251" s="2"/>
      <c r="S251" s="2"/>
    </row>
    <row r="252" spans="1:19" x14ac:dyDescent="0.3">
      <c r="A252" s="2"/>
      <c r="B252" s="2"/>
      <c r="C252" s="2"/>
      <c r="D252" s="2"/>
      <c r="E252" s="2"/>
      <c r="F252" s="2"/>
      <c r="G252" s="2"/>
      <c r="H252" s="2"/>
      <c r="I252" s="2"/>
      <c r="J252" s="2"/>
      <c r="K252" s="2"/>
      <c r="L252" s="2"/>
      <c r="M252" s="2"/>
      <c r="N252" s="117" t="s">
        <v>711</v>
      </c>
      <c r="O252" s="114">
        <v>2.3333333333333335</v>
      </c>
      <c r="P252" s="2"/>
      <c r="Q252" s="2"/>
      <c r="R252" s="2"/>
      <c r="S252" s="2"/>
    </row>
    <row r="253" spans="1:19" x14ac:dyDescent="0.3">
      <c r="A253" s="2"/>
      <c r="B253" s="2"/>
      <c r="C253" s="2"/>
      <c r="D253" s="2"/>
      <c r="E253" s="2"/>
      <c r="F253" s="2"/>
      <c r="G253" s="2"/>
      <c r="H253" s="2"/>
      <c r="I253" s="2"/>
      <c r="J253" s="2"/>
      <c r="K253" s="2"/>
      <c r="L253" s="2"/>
      <c r="M253" s="2"/>
      <c r="N253" s="117" t="s">
        <v>1139</v>
      </c>
      <c r="O253" s="105">
        <v>2.3333333333333335</v>
      </c>
      <c r="P253" s="2"/>
      <c r="Q253" s="2"/>
      <c r="R253" s="2"/>
      <c r="S253" s="2"/>
    </row>
    <row r="254" spans="1:19" x14ac:dyDescent="0.3">
      <c r="A254" s="2"/>
      <c r="B254" s="2"/>
      <c r="C254" s="2"/>
      <c r="D254" s="2"/>
      <c r="E254" s="2"/>
      <c r="F254" s="2"/>
      <c r="G254" s="2"/>
      <c r="H254" s="2"/>
      <c r="I254" s="2"/>
      <c r="J254" s="2"/>
      <c r="K254" s="2"/>
      <c r="L254" s="2"/>
      <c r="M254" s="2"/>
      <c r="N254" s="2"/>
      <c r="O254" s="2"/>
      <c r="P254" s="2"/>
      <c r="Q254" s="2"/>
      <c r="R254" s="2"/>
      <c r="S254" s="2"/>
    </row>
    <row r="255" spans="1:19" x14ac:dyDescent="0.3">
      <c r="A255" s="2"/>
      <c r="B255" s="2"/>
      <c r="C255" s="2"/>
      <c r="D255" s="2"/>
      <c r="E255" s="2"/>
      <c r="F255" s="2"/>
      <c r="G255" s="2"/>
      <c r="H255" s="2"/>
      <c r="I255" s="2"/>
      <c r="J255" s="2"/>
      <c r="K255" s="2"/>
      <c r="L255" s="2"/>
      <c r="M255" s="2"/>
      <c r="N255" s="2"/>
      <c r="O255" s="2"/>
      <c r="P255" s="2"/>
      <c r="Q255" s="2"/>
      <c r="R255" s="2"/>
      <c r="S255" s="2"/>
    </row>
    <row r="256" spans="1:19" s="2" customFormat="1" x14ac:dyDescent="0.3">
      <c r="B256" s="181" t="s">
        <v>1142</v>
      </c>
      <c r="C256" s="182"/>
      <c r="D256" s="182"/>
      <c r="E256" s="182"/>
      <c r="F256" s="182"/>
      <c r="G256" s="182"/>
      <c r="H256" s="182"/>
      <c r="I256" s="182"/>
      <c r="J256" s="182"/>
      <c r="K256" s="182"/>
      <c r="L256" s="182"/>
      <c r="M256" s="182"/>
      <c r="N256" s="182"/>
      <c r="O256" s="182"/>
      <c r="P256" s="36"/>
      <c r="Q256" s="40"/>
      <c r="R256" s="40"/>
      <c r="S256" s="40"/>
    </row>
    <row r="257" spans="1:19" s="2" customFormat="1" x14ac:dyDescent="0.3">
      <c r="B257" s="184"/>
      <c r="C257" s="185"/>
      <c r="D257" s="185"/>
      <c r="E257" s="185"/>
      <c r="F257" s="185"/>
      <c r="G257" s="185"/>
      <c r="H257" s="185"/>
      <c r="I257" s="185"/>
      <c r="J257" s="185"/>
      <c r="K257" s="185"/>
      <c r="L257" s="185"/>
      <c r="M257" s="185"/>
      <c r="N257" s="185"/>
      <c r="O257" s="185"/>
      <c r="P257" s="36"/>
      <c r="Q257" s="40"/>
      <c r="R257" s="40"/>
      <c r="S257" s="40"/>
    </row>
    <row r="258" spans="1:19" s="2" customFormat="1" x14ac:dyDescent="0.3">
      <c r="B258" s="187"/>
      <c r="C258" s="188"/>
      <c r="D258" s="188"/>
      <c r="E258" s="188"/>
      <c r="F258" s="188"/>
      <c r="G258" s="188"/>
      <c r="H258" s="188"/>
      <c r="I258" s="188"/>
      <c r="J258" s="188"/>
      <c r="K258" s="188"/>
      <c r="L258" s="188"/>
      <c r="M258" s="188"/>
      <c r="N258" s="188"/>
      <c r="O258" s="188"/>
      <c r="P258" s="36"/>
      <c r="Q258" s="40"/>
      <c r="R258" s="40"/>
      <c r="S258" s="40"/>
    </row>
    <row r="259" spans="1:19" x14ac:dyDescent="0.3">
      <c r="A259" s="2"/>
      <c r="B259" s="67"/>
      <c r="C259" s="67"/>
      <c r="D259" s="67"/>
      <c r="E259" s="67"/>
      <c r="F259" s="67"/>
      <c r="G259" s="67"/>
      <c r="H259" s="67"/>
      <c r="I259" s="67"/>
      <c r="J259" s="67"/>
      <c r="K259" s="67"/>
      <c r="L259" s="67"/>
      <c r="M259" s="67"/>
      <c r="N259" s="67"/>
      <c r="O259" s="67"/>
      <c r="P259" s="67"/>
      <c r="Q259" s="67"/>
      <c r="R259" s="67"/>
      <c r="S259" s="67"/>
    </row>
    <row r="260" spans="1:19" x14ac:dyDescent="0.3">
      <c r="A260" s="2"/>
      <c r="B260" s="2"/>
      <c r="C260" s="2"/>
      <c r="D260" s="2"/>
      <c r="E260" s="2"/>
      <c r="F260" s="2"/>
      <c r="G260" s="2"/>
      <c r="H260" s="2"/>
      <c r="I260" s="2"/>
      <c r="J260" s="2"/>
      <c r="K260" s="2"/>
      <c r="L260" s="2"/>
      <c r="M260" s="2"/>
      <c r="N260" s="2"/>
      <c r="O260" s="2"/>
      <c r="P260" s="2"/>
      <c r="Q260" s="2"/>
      <c r="R260" s="2"/>
      <c r="S260" s="2"/>
    </row>
    <row r="261" spans="1:19" x14ac:dyDescent="0.3">
      <c r="A261" s="2"/>
      <c r="B261" s="2"/>
      <c r="C261" s="2"/>
      <c r="D261" s="2"/>
      <c r="E261" s="2"/>
      <c r="F261" s="2"/>
      <c r="G261" s="2"/>
      <c r="H261" s="2"/>
      <c r="I261" s="2"/>
      <c r="J261" s="2"/>
      <c r="K261" s="2"/>
      <c r="L261" s="2"/>
      <c r="M261" s="2"/>
      <c r="N261" s="2"/>
      <c r="O261" s="2"/>
      <c r="P261" s="2"/>
      <c r="Q261" s="2"/>
      <c r="R261" s="2"/>
      <c r="S261" s="2"/>
    </row>
    <row r="262" spans="1:19" x14ac:dyDescent="0.3">
      <c r="A262" s="2"/>
      <c r="B262" s="2"/>
      <c r="C262" s="2"/>
      <c r="D262" s="2"/>
      <c r="E262" s="2"/>
      <c r="F262" s="2"/>
      <c r="G262" s="2"/>
      <c r="H262" s="2"/>
      <c r="I262" s="2"/>
      <c r="J262" s="181" t="s">
        <v>1143</v>
      </c>
      <c r="K262" s="182"/>
      <c r="L262" s="182"/>
      <c r="M262" s="182"/>
      <c r="N262" s="182"/>
      <c r="O262" s="183"/>
      <c r="P262" s="2"/>
      <c r="Q262" s="2"/>
      <c r="R262" s="2"/>
      <c r="S262" s="2"/>
    </row>
    <row r="263" spans="1:19" x14ac:dyDescent="0.3">
      <c r="A263" s="2"/>
      <c r="B263" s="2"/>
      <c r="C263" s="2"/>
      <c r="D263" s="2"/>
      <c r="E263" s="2"/>
      <c r="F263" s="2"/>
      <c r="G263" s="2"/>
      <c r="H263" s="2"/>
      <c r="I263" s="2"/>
      <c r="J263" s="184"/>
      <c r="K263" s="185"/>
      <c r="L263" s="185"/>
      <c r="M263" s="185"/>
      <c r="N263" s="185"/>
      <c r="O263" s="186"/>
      <c r="P263" s="2"/>
      <c r="Q263" s="2"/>
      <c r="R263" s="2"/>
      <c r="S263" s="2"/>
    </row>
    <row r="264" spans="1:19" x14ac:dyDescent="0.3">
      <c r="A264" s="2"/>
      <c r="B264" s="2"/>
      <c r="C264" s="2"/>
      <c r="D264" s="2"/>
      <c r="E264" s="2"/>
      <c r="F264" s="2"/>
      <c r="G264" s="2"/>
      <c r="H264" s="2"/>
      <c r="I264" s="2"/>
      <c r="J264" s="187"/>
      <c r="K264" s="188"/>
      <c r="L264" s="188"/>
      <c r="M264" s="188"/>
      <c r="N264" s="188"/>
      <c r="O264" s="189"/>
      <c r="P264" s="2"/>
      <c r="Q264" s="2"/>
      <c r="R264" s="2"/>
      <c r="S264" s="2"/>
    </row>
    <row r="265" spans="1:19" x14ac:dyDescent="0.3">
      <c r="A265" s="2"/>
      <c r="B265" s="2"/>
      <c r="C265" s="2"/>
      <c r="D265" s="2"/>
      <c r="E265" s="2"/>
      <c r="F265" s="2"/>
      <c r="G265" s="2"/>
      <c r="H265" s="2"/>
      <c r="I265" s="2"/>
      <c r="J265" s="2"/>
      <c r="K265" s="2"/>
      <c r="L265" s="2"/>
      <c r="M265" s="2"/>
      <c r="N265" s="2"/>
      <c r="O265" s="2"/>
      <c r="P265" s="2"/>
      <c r="Q265" s="2"/>
      <c r="R265" s="2"/>
      <c r="S265" s="2"/>
    </row>
    <row r="266" spans="1:19" x14ac:dyDescent="0.3">
      <c r="A266" s="2"/>
      <c r="B266" s="2"/>
      <c r="C266" s="2"/>
      <c r="D266" s="2"/>
      <c r="E266" s="2"/>
      <c r="F266" s="2"/>
      <c r="G266" s="2"/>
      <c r="H266" s="2"/>
      <c r="I266" s="2"/>
      <c r="J266" s="2"/>
      <c r="K266" s="2"/>
      <c r="L266" s="2"/>
      <c r="M266" s="2"/>
      <c r="N266" s="2"/>
      <c r="O266" s="2"/>
      <c r="P266" s="2"/>
      <c r="Q266" s="2"/>
      <c r="R266" s="2"/>
      <c r="S266" s="2"/>
    </row>
    <row r="267" spans="1:19" x14ac:dyDescent="0.3">
      <c r="A267" s="2"/>
      <c r="B267" s="2"/>
      <c r="C267" s="2"/>
      <c r="D267" s="2"/>
      <c r="E267" s="2"/>
      <c r="F267" s="2"/>
      <c r="G267" s="2"/>
      <c r="H267" s="2"/>
      <c r="I267" s="2"/>
      <c r="J267" s="190" t="s">
        <v>1144</v>
      </c>
      <c r="K267" s="191"/>
      <c r="L267" s="191"/>
      <c r="M267" s="191"/>
      <c r="N267" s="191"/>
      <c r="O267" s="192"/>
      <c r="P267" s="2"/>
      <c r="Q267" s="2"/>
      <c r="R267" s="2"/>
      <c r="S267" s="2"/>
    </row>
    <row r="268" spans="1:19" ht="14.4" customHeight="1" x14ac:dyDescent="0.3">
      <c r="A268" s="2"/>
      <c r="B268" s="2"/>
      <c r="C268" s="2"/>
      <c r="D268" s="2"/>
      <c r="E268" s="2"/>
      <c r="F268" s="2"/>
      <c r="G268" s="2"/>
      <c r="H268" s="2"/>
      <c r="I268" s="2"/>
      <c r="J268" s="193"/>
      <c r="K268" s="194"/>
      <c r="L268" s="194"/>
      <c r="M268" s="194"/>
      <c r="N268" s="194"/>
      <c r="O268" s="195"/>
      <c r="P268" s="2"/>
      <c r="Q268" s="2"/>
      <c r="R268" s="2"/>
      <c r="S268" s="2"/>
    </row>
    <row r="269" spans="1:19" x14ac:dyDescent="0.3">
      <c r="A269" s="2"/>
      <c r="B269" s="2"/>
      <c r="C269" s="2"/>
      <c r="D269" s="2"/>
      <c r="E269" s="2"/>
      <c r="F269" s="2"/>
      <c r="G269" s="2"/>
      <c r="H269" s="2"/>
      <c r="I269" s="2"/>
      <c r="J269" s="193"/>
      <c r="K269" s="194"/>
      <c r="L269" s="194"/>
      <c r="M269" s="194"/>
      <c r="N269" s="194"/>
      <c r="O269" s="195"/>
      <c r="P269" s="2"/>
      <c r="Q269" s="2"/>
      <c r="R269" s="2"/>
      <c r="S269" s="2"/>
    </row>
    <row r="270" spans="1:19" x14ac:dyDescent="0.3">
      <c r="A270" s="2"/>
      <c r="B270" s="2"/>
      <c r="C270" s="2"/>
      <c r="D270" s="2"/>
      <c r="E270" s="2"/>
      <c r="F270" s="2"/>
      <c r="G270" s="2"/>
      <c r="H270" s="2"/>
      <c r="I270" s="2"/>
      <c r="J270" s="193"/>
      <c r="K270" s="194"/>
      <c r="L270" s="194"/>
      <c r="M270" s="194"/>
      <c r="N270" s="194"/>
      <c r="O270" s="195"/>
      <c r="P270" s="2"/>
      <c r="Q270" s="2"/>
      <c r="R270" s="2"/>
      <c r="S270" s="2"/>
    </row>
    <row r="271" spans="1:19" x14ac:dyDescent="0.3">
      <c r="A271" s="2"/>
      <c r="B271" s="2"/>
      <c r="C271" s="2"/>
      <c r="D271" s="2"/>
      <c r="E271" s="2"/>
      <c r="F271" s="2"/>
      <c r="G271" s="2"/>
      <c r="H271" s="2"/>
      <c r="I271" s="2"/>
      <c r="J271" s="193"/>
      <c r="K271" s="194"/>
      <c r="L271" s="194"/>
      <c r="M271" s="194"/>
      <c r="N271" s="194"/>
      <c r="O271" s="195"/>
      <c r="P271" s="2"/>
      <c r="Q271" s="2"/>
      <c r="R271" s="2"/>
      <c r="S271" s="2"/>
    </row>
    <row r="272" spans="1:19" x14ac:dyDescent="0.3">
      <c r="A272" s="2"/>
      <c r="B272" s="2"/>
      <c r="C272" s="2"/>
      <c r="D272" s="2"/>
      <c r="E272" s="2"/>
      <c r="F272" s="2"/>
      <c r="G272" s="2"/>
      <c r="H272" s="2"/>
      <c r="I272" s="2"/>
      <c r="J272" s="193"/>
      <c r="K272" s="194"/>
      <c r="L272" s="194"/>
      <c r="M272" s="194"/>
      <c r="N272" s="194"/>
      <c r="O272" s="195"/>
      <c r="P272" s="2"/>
      <c r="Q272" s="2"/>
      <c r="R272" s="2"/>
      <c r="S272" s="2"/>
    </row>
    <row r="273" spans="1:19" x14ac:dyDescent="0.3">
      <c r="A273" s="2"/>
      <c r="B273" s="2"/>
      <c r="C273" s="2"/>
      <c r="D273" s="2"/>
      <c r="E273" s="2"/>
      <c r="F273" s="2"/>
      <c r="G273" s="2"/>
      <c r="H273" s="2"/>
      <c r="I273" s="2"/>
      <c r="J273" s="193"/>
      <c r="K273" s="194"/>
      <c r="L273" s="194"/>
      <c r="M273" s="194"/>
      <c r="N273" s="194"/>
      <c r="O273" s="195"/>
      <c r="P273" s="2"/>
      <c r="Q273" s="2"/>
      <c r="R273" s="2"/>
      <c r="S273" s="2"/>
    </row>
    <row r="274" spans="1:19" x14ac:dyDescent="0.3">
      <c r="A274" s="2"/>
      <c r="B274" s="2"/>
      <c r="C274" s="2"/>
      <c r="D274" s="2"/>
      <c r="E274" s="2"/>
      <c r="F274" s="2"/>
      <c r="G274" s="2"/>
      <c r="H274" s="2"/>
      <c r="I274" s="2"/>
      <c r="J274" s="193"/>
      <c r="K274" s="194"/>
      <c r="L274" s="194"/>
      <c r="M274" s="194"/>
      <c r="N274" s="194"/>
      <c r="O274" s="195"/>
      <c r="P274" s="2"/>
      <c r="Q274" s="2"/>
      <c r="R274" s="2"/>
      <c r="S274" s="2"/>
    </row>
    <row r="275" spans="1:19" x14ac:dyDescent="0.3">
      <c r="A275" s="2"/>
      <c r="B275" s="2"/>
      <c r="C275" s="2"/>
      <c r="D275" s="2"/>
      <c r="E275" s="2"/>
      <c r="F275" s="2"/>
      <c r="G275" s="2"/>
      <c r="H275" s="2"/>
      <c r="I275" s="2"/>
      <c r="J275" s="193"/>
      <c r="K275" s="194"/>
      <c r="L275" s="194"/>
      <c r="M275" s="194"/>
      <c r="N275" s="194"/>
      <c r="O275" s="195"/>
      <c r="P275" s="2"/>
      <c r="Q275" s="2"/>
      <c r="R275" s="2"/>
      <c r="S275" s="2"/>
    </row>
    <row r="276" spans="1:19" x14ac:dyDescent="0.3">
      <c r="A276" s="2"/>
      <c r="B276" s="2"/>
      <c r="C276" s="2"/>
      <c r="D276" s="2"/>
      <c r="E276" s="2"/>
      <c r="F276" s="2"/>
      <c r="G276" s="2"/>
      <c r="H276" s="2"/>
      <c r="I276" s="2"/>
      <c r="J276" s="193"/>
      <c r="K276" s="194"/>
      <c r="L276" s="194"/>
      <c r="M276" s="194"/>
      <c r="N276" s="194"/>
      <c r="O276" s="195"/>
      <c r="P276" s="2"/>
      <c r="Q276" s="2"/>
      <c r="R276" s="2"/>
      <c r="S276" s="2"/>
    </row>
    <row r="277" spans="1:19" x14ac:dyDescent="0.3">
      <c r="A277" s="2"/>
      <c r="B277" s="2"/>
      <c r="C277" s="2"/>
      <c r="D277" s="2"/>
      <c r="E277" s="2"/>
      <c r="F277" s="2"/>
      <c r="G277" s="2"/>
      <c r="H277" s="2"/>
      <c r="I277" s="2"/>
      <c r="J277" s="193"/>
      <c r="K277" s="194"/>
      <c r="L277" s="194"/>
      <c r="M277" s="194"/>
      <c r="N277" s="194"/>
      <c r="O277" s="195"/>
      <c r="P277" s="2"/>
      <c r="Q277" s="2"/>
      <c r="R277" s="2"/>
      <c r="S277" s="2"/>
    </row>
    <row r="278" spans="1:19" x14ac:dyDescent="0.3">
      <c r="A278" s="2"/>
      <c r="B278" s="2"/>
      <c r="C278" s="2"/>
      <c r="D278" s="2"/>
      <c r="E278" s="2"/>
      <c r="F278" s="2"/>
      <c r="G278" s="2"/>
      <c r="H278" s="2"/>
      <c r="I278" s="2"/>
      <c r="J278" s="193"/>
      <c r="K278" s="194"/>
      <c r="L278" s="194"/>
      <c r="M278" s="194"/>
      <c r="N278" s="194"/>
      <c r="O278" s="195"/>
      <c r="P278" s="2"/>
      <c r="Q278" s="2"/>
      <c r="R278" s="2"/>
      <c r="S278" s="2"/>
    </row>
    <row r="279" spans="1:19" x14ac:dyDescent="0.3">
      <c r="A279" s="2"/>
      <c r="B279" s="2"/>
      <c r="C279" s="2"/>
      <c r="D279" s="2"/>
      <c r="E279" s="2"/>
      <c r="F279" s="2"/>
      <c r="G279" s="2"/>
      <c r="H279" s="2"/>
      <c r="I279" s="2"/>
      <c r="J279" s="193"/>
      <c r="K279" s="194"/>
      <c r="L279" s="194"/>
      <c r="M279" s="194"/>
      <c r="N279" s="194"/>
      <c r="O279" s="195"/>
      <c r="P279" s="2"/>
      <c r="Q279" s="2"/>
      <c r="R279" s="2"/>
      <c r="S279" s="2"/>
    </row>
    <row r="280" spans="1:19" x14ac:dyDescent="0.3">
      <c r="A280" s="2"/>
      <c r="B280" s="2"/>
      <c r="C280" s="2"/>
      <c r="D280" s="2"/>
      <c r="E280" s="2"/>
      <c r="F280" s="2"/>
      <c r="G280" s="2"/>
      <c r="H280" s="2"/>
      <c r="I280" s="2"/>
      <c r="J280" s="193"/>
      <c r="K280" s="194"/>
      <c r="L280" s="194"/>
      <c r="M280" s="194"/>
      <c r="N280" s="194"/>
      <c r="O280" s="195"/>
      <c r="P280" s="2"/>
      <c r="Q280" s="2"/>
      <c r="R280" s="2"/>
      <c r="S280" s="2"/>
    </row>
    <row r="281" spans="1:19" x14ac:dyDescent="0.3">
      <c r="A281" s="2"/>
      <c r="B281" s="2"/>
      <c r="C281" s="2"/>
      <c r="D281" s="2"/>
      <c r="E281" s="2"/>
      <c r="F281" s="2"/>
      <c r="G281" s="2"/>
      <c r="H281" s="2"/>
      <c r="I281" s="2"/>
      <c r="J281" s="193"/>
      <c r="K281" s="194"/>
      <c r="L281" s="194"/>
      <c r="M281" s="194"/>
      <c r="N281" s="194"/>
      <c r="O281" s="195"/>
      <c r="P281" s="2"/>
      <c r="Q281" s="2"/>
      <c r="R281" s="2"/>
      <c r="S281" s="2"/>
    </row>
    <row r="282" spans="1:19" x14ac:dyDescent="0.3">
      <c r="A282" s="2"/>
      <c r="B282" s="2"/>
      <c r="C282" s="2"/>
      <c r="D282" s="2"/>
      <c r="E282" s="2"/>
      <c r="F282" s="2"/>
      <c r="G282" s="2"/>
      <c r="H282" s="2"/>
      <c r="I282" s="2"/>
      <c r="J282" s="193"/>
      <c r="K282" s="194"/>
      <c r="L282" s="194"/>
      <c r="M282" s="194"/>
      <c r="N282" s="194"/>
      <c r="O282" s="195"/>
      <c r="P282" s="2"/>
      <c r="Q282" s="2"/>
      <c r="R282" s="2"/>
      <c r="S282" s="2"/>
    </row>
    <row r="283" spans="1:19" x14ac:dyDescent="0.3">
      <c r="A283" s="2"/>
      <c r="B283" s="2"/>
      <c r="C283" s="2"/>
      <c r="D283" s="2"/>
      <c r="E283" s="2"/>
      <c r="F283" s="2"/>
      <c r="G283" s="2"/>
      <c r="H283" s="2"/>
      <c r="I283" s="2"/>
      <c r="J283" s="193"/>
      <c r="K283" s="194"/>
      <c r="L283" s="194"/>
      <c r="M283" s="194"/>
      <c r="N283" s="194"/>
      <c r="O283" s="195"/>
      <c r="P283" s="2"/>
      <c r="Q283" s="2"/>
      <c r="R283" s="2"/>
      <c r="S283" s="2"/>
    </row>
    <row r="284" spans="1:19" x14ac:dyDescent="0.3">
      <c r="A284" s="2"/>
      <c r="B284" s="2"/>
      <c r="C284" s="2"/>
      <c r="D284" s="2"/>
      <c r="E284" s="2"/>
      <c r="F284" s="2"/>
      <c r="G284" s="2"/>
      <c r="H284" s="2"/>
      <c r="I284" s="2"/>
      <c r="J284" s="193"/>
      <c r="K284" s="194"/>
      <c r="L284" s="194"/>
      <c r="M284" s="194"/>
      <c r="N284" s="194"/>
      <c r="O284" s="195"/>
      <c r="P284" s="2"/>
      <c r="Q284" s="2"/>
      <c r="R284" s="2"/>
      <c r="S284" s="2"/>
    </row>
    <row r="285" spans="1:19" x14ac:dyDescent="0.3">
      <c r="A285" s="2"/>
      <c r="B285" s="2"/>
      <c r="C285" s="2"/>
      <c r="D285" s="2"/>
      <c r="E285" s="2"/>
      <c r="F285" s="2"/>
      <c r="G285" s="2"/>
      <c r="H285" s="2"/>
      <c r="I285" s="2"/>
      <c r="J285" s="193"/>
      <c r="K285" s="194"/>
      <c r="L285" s="194"/>
      <c r="M285" s="194"/>
      <c r="N285" s="194"/>
      <c r="O285" s="195"/>
      <c r="P285" s="2"/>
      <c r="Q285" s="2"/>
      <c r="R285" s="2"/>
      <c r="S285" s="2"/>
    </row>
    <row r="286" spans="1:19" x14ac:dyDescent="0.3">
      <c r="A286" s="2"/>
      <c r="B286" s="2"/>
      <c r="C286" s="2"/>
      <c r="D286" s="2"/>
      <c r="E286" s="2"/>
      <c r="F286" s="2"/>
      <c r="G286" s="2"/>
      <c r="H286" s="2"/>
      <c r="I286" s="2"/>
      <c r="J286" s="193"/>
      <c r="K286" s="194"/>
      <c r="L286" s="194"/>
      <c r="M286" s="194"/>
      <c r="N286" s="194"/>
      <c r="O286" s="195"/>
      <c r="P286" s="2"/>
      <c r="Q286" s="2"/>
      <c r="R286" s="2"/>
      <c r="S286" s="2"/>
    </row>
    <row r="287" spans="1:19" x14ac:dyDescent="0.3">
      <c r="A287" s="2"/>
      <c r="B287" s="2"/>
      <c r="C287" s="2"/>
      <c r="D287" s="2"/>
      <c r="E287" s="2"/>
      <c r="F287" s="2"/>
      <c r="G287" s="2"/>
      <c r="H287" s="2"/>
      <c r="I287" s="2"/>
      <c r="J287" s="193"/>
      <c r="K287" s="194"/>
      <c r="L287" s="194"/>
      <c r="M287" s="194"/>
      <c r="N287" s="194"/>
      <c r="O287" s="195"/>
      <c r="P287" s="2"/>
      <c r="Q287" s="2"/>
      <c r="R287" s="2"/>
      <c r="S287" s="2"/>
    </row>
    <row r="288" spans="1:19" x14ac:dyDescent="0.3">
      <c r="A288" s="2"/>
      <c r="B288" s="2"/>
      <c r="C288" s="2"/>
      <c r="D288" s="2"/>
      <c r="E288" s="2"/>
      <c r="F288" s="2"/>
      <c r="G288" s="2"/>
      <c r="H288" s="2"/>
      <c r="I288" s="2"/>
      <c r="J288" s="193"/>
      <c r="K288" s="194"/>
      <c r="L288" s="194"/>
      <c r="M288" s="194"/>
      <c r="N288" s="194"/>
      <c r="O288" s="195"/>
      <c r="P288" s="2"/>
      <c r="Q288" s="2"/>
      <c r="R288" s="2"/>
      <c r="S288" s="2"/>
    </row>
    <row r="289" spans="1:19" x14ac:dyDescent="0.3">
      <c r="A289" s="2"/>
      <c r="B289" s="2"/>
      <c r="C289" s="2"/>
      <c r="D289" s="2"/>
      <c r="E289" s="2"/>
      <c r="F289" s="2"/>
      <c r="G289" s="2"/>
      <c r="H289" s="2"/>
      <c r="I289" s="2"/>
      <c r="J289" s="111"/>
      <c r="K289" s="111"/>
      <c r="L289" s="111"/>
      <c r="M289" s="111"/>
      <c r="N289" s="111"/>
      <c r="O289" s="111"/>
      <c r="P289" s="2"/>
      <c r="Q289" s="2"/>
      <c r="R289" s="2"/>
      <c r="S289" s="2"/>
    </row>
    <row r="290" spans="1:19" x14ac:dyDescent="0.3">
      <c r="A290" s="2"/>
      <c r="B290" s="2"/>
      <c r="C290" s="2"/>
      <c r="D290" s="2"/>
      <c r="E290" s="2"/>
      <c r="F290" s="2"/>
      <c r="G290" s="2"/>
      <c r="H290" s="2"/>
      <c r="I290" s="2"/>
      <c r="J290" s="110"/>
      <c r="K290" s="110"/>
      <c r="L290" s="110"/>
      <c r="M290" s="110"/>
      <c r="N290" s="110"/>
      <c r="O290" s="110"/>
      <c r="P290" s="2"/>
      <c r="Q290" s="2"/>
      <c r="R290" s="2"/>
      <c r="S290" s="2"/>
    </row>
    <row r="291" spans="1:19" x14ac:dyDescent="0.3">
      <c r="A291" s="2"/>
      <c r="B291" s="2"/>
      <c r="C291" s="2"/>
      <c r="D291" s="2"/>
      <c r="E291" s="2"/>
      <c r="F291" s="2"/>
      <c r="G291" s="2"/>
      <c r="H291" s="2"/>
      <c r="I291" s="2"/>
      <c r="J291" s="110"/>
      <c r="K291" s="110"/>
      <c r="L291" s="110"/>
      <c r="M291" s="110"/>
      <c r="N291" s="110"/>
      <c r="O291" s="110"/>
      <c r="P291" s="2"/>
      <c r="Q291" s="2"/>
      <c r="R291" s="2"/>
      <c r="S291" s="2"/>
    </row>
    <row r="292" spans="1:19" x14ac:dyDescent="0.3">
      <c r="A292" s="2"/>
      <c r="B292" s="2"/>
      <c r="C292" s="2"/>
      <c r="D292" s="2"/>
      <c r="E292" s="2"/>
      <c r="F292" s="2"/>
      <c r="G292" s="2"/>
      <c r="H292" s="2"/>
      <c r="I292" s="2"/>
      <c r="J292" s="110"/>
      <c r="K292" s="110"/>
      <c r="L292" s="110"/>
      <c r="M292" s="110"/>
      <c r="N292" s="110"/>
      <c r="O292" s="110"/>
      <c r="P292" s="2"/>
      <c r="Q292" s="2"/>
      <c r="R292" s="2"/>
      <c r="S292" s="2"/>
    </row>
    <row r="293" spans="1:19" x14ac:dyDescent="0.3">
      <c r="A293" s="2"/>
      <c r="B293" s="2"/>
      <c r="C293" s="2"/>
      <c r="D293" s="2"/>
      <c r="E293" s="2"/>
      <c r="F293" s="2"/>
      <c r="G293" s="2"/>
      <c r="H293" s="2"/>
      <c r="I293" s="2"/>
      <c r="J293" s="110"/>
      <c r="K293" s="110"/>
      <c r="L293" s="110"/>
      <c r="M293" s="110"/>
      <c r="N293" s="110"/>
      <c r="O293" s="110"/>
      <c r="P293" s="2"/>
      <c r="Q293" s="2"/>
      <c r="R293" s="2"/>
      <c r="S293" s="2"/>
    </row>
    <row r="294" spans="1:19" x14ac:dyDescent="0.3">
      <c r="A294" s="2"/>
      <c r="B294" s="2"/>
      <c r="C294" s="2"/>
      <c r="D294" s="2"/>
      <c r="E294" s="2"/>
      <c r="F294" s="2"/>
      <c r="G294" s="2"/>
      <c r="H294" s="2"/>
      <c r="I294" s="2"/>
      <c r="J294" s="110"/>
      <c r="K294" s="110"/>
      <c r="L294" s="110"/>
      <c r="M294" s="110"/>
      <c r="N294" s="110"/>
      <c r="O294" s="110"/>
      <c r="P294" s="2"/>
      <c r="Q294" s="2"/>
      <c r="R294" s="2"/>
      <c r="S294" s="2"/>
    </row>
    <row r="295" spans="1:19" x14ac:dyDescent="0.3">
      <c r="A295" s="2"/>
      <c r="B295" s="2"/>
      <c r="C295" s="2"/>
      <c r="D295" s="2"/>
      <c r="E295" s="2"/>
      <c r="F295" s="2"/>
      <c r="G295" s="2"/>
      <c r="H295" s="2"/>
      <c r="I295" s="2"/>
      <c r="J295" s="181" t="s">
        <v>1145</v>
      </c>
      <c r="K295" s="182"/>
      <c r="L295" s="182"/>
      <c r="M295" s="182"/>
      <c r="N295" s="182"/>
      <c r="O295" s="183"/>
      <c r="P295" s="2"/>
      <c r="Q295" s="2"/>
      <c r="R295" s="2"/>
      <c r="S295" s="2"/>
    </row>
    <row r="296" spans="1:19" x14ac:dyDescent="0.3">
      <c r="A296" s="2"/>
      <c r="B296" s="2"/>
      <c r="C296" s="2"/>
      <c r="D296" s="2"/>
      <c r="E296" s="2"/>
      <c r="F296" s="2"/>
      <c r="G296" s="2"/>
      <c r="H296" s="2"/>
      <c r="I296" s="2"/>
      <c r="J296" s="184"/>
      <c r="K296" s="185"/>
      <c r="L296" s="185"/>
      <c r="M296" s="185"/>
      <c r="N296" s="185"/>
      <c r="O296" s="186"/>
      <c r="P296" s="2"/>
      <c r="Q296" s="2"/>
      <c r="R296" s="2"/>
      <c r="S296" s="2"/>
    </row>
    <row r="297" spans="1:19" x14ac:dyDescent="0.3">
      <c r="A297" s="2"/>
      <c r="B297" s="2"/>
      <c r="C297" s="2"/>
      <c r="D297" s="2"/>
      <c r="E297" s="2"/>
      <c r="F297" s="2"/>
      <c r="G297" s="2"/>
      <c r="H297" s="2"/>
      <c r="I297" s="2"/>
      <c r="J297" s="187"/>
      <c r="K297" s="188"/>
      <c r="L297" s="188"/>
      <c r="M297" s="188"/>
      <c r="N297" s="188"/>
      <c r="O297" s="189"/>
      <c r="P297" s="2"/>
      <c r="Q297" s="2"/>
      <c r="R297" s="2"/>
      <c r="S297" s="2"/>
    </row>
    <row r="298" spans="1:19" x14ac:dyDescent="0.3">
      <c r="A298" s="2"/>
      <c r="B298" s="2"/>
      <c r="C298" s="2"/>
      <c r="D298" s="2"/>
      <c r="E298" s="2"/>
      <c r="F298" s="2"/>
      <c r="G298" s="2"/>
      <c r="H298" s="2"/>
      <c r="I298" s="2"/>
      <c r="J298" s="110"/>
      <c r="K298" s="110"/>
      <c r="L298" s="110"/>
      <c r="M298" s="110"/>
      <c r="N298" s="110"/>
      <c r="O298" s="110"/>
      <c r="P298" s="2"/>
      <c r="Q298" s="2"/>
      <c r="R298" s="2"/>
      <c r="S298" s="2"/>
    </row>
    <row r="299" spans="1:19" x14ac:dyDescent="0.3">
      <c r="A299" s="2"/>
      <c r="B299" s="2"/>
      <c r="C299" s="2"/>
      <c r="D299" s="2"/>
      <c r="E299" s="2"/>
      <c r="F299" s="2"/>
      <c r="G299" s="2"/>
      <c r="H299" s="2"/>
      <c r="I299" s="2"/>
      <c r="J299" s="110"/>
      <c r="K299" s="110"/>
      <c r="L299" s="110"/>
      <c r="M299" s="110"/>
      <c r="N299" s="110"/>
      <c r="O299" s="110"/>
      <c r="P299" s="2"/>
      <c r="Q299" s="2"/>
      <c r="R299" s="2"/>
      <c r="S299" s="2"/>
    </row>
    <row r="300" spans="1:19" ht="14.4" customHeight="1" x14ac:dyDescent="0.3">
      <c r="A300" s="2"/>
      <c r="B300" s="2"/>
      <c r="C300" s="2"/>
      <c r="D300" s="2"/>
      <c r="E300" s="2"/>
      <c r="F300" s="2"/>
      <c r="G300" s="2"/>
      <c r="H300" s="2"/>
      <c r="I300" s="2"/>
      <c r="J300" s="191" t="s">
        <v>1146</v>
      </c>
      <c r="K300" s="191"/>
      <c r="L300" s="191"/>
      <c r="M300" s="191"/>
      <c r="N300" s="191"/>
      <c r="O300" s="191"/>
      <c r="P300" s="2"/>
      <c r="Q300" s="2"/>
      <c r="R300" s="2"/>
      <c r="S300" s="2"/>
    </row>
    <row r="301" spans="1:19" x14ac:dyDescent="0.3">
      <c r="A301" s="2"/>
      <c r="B301" s="2"/>
      <c r="C301" s="2"/>
      <c r="D301" s="2"/>
      <c r="E301" s="2"/>
      <c r="F301" s="2"/>
      <c r="G301" s="2"/>
      <c r="H301" s="2"/>
      <c r="I301" s="2"/>
      <c r="J301" s="194"/>
      <c r="K301" s="194"/>
      <c r="L301" s="194"/>
      <c r="M301" s="194"/>
      <c r="N301" s="194"/>
      <c r="O301" s="194"/>
      <c r="P301" s="2"/>
      <c r="Q301" s="2"/>
      <c r="R301" s="2"/>
      <c r="S301" s="2"/>
    </row>
    <row r="302" spans="1:19" x14ac:dyDescent="0.3">
      <c r="A302" s="2"/>
      <c r="B302" s="2"/>
      <c r="C302" s="2"/>
      <c r="D302" s="2"/>
      <c r="E302" s="2"/>
      <c r="F302" s="2"/>
      <c r="G302" s="2"/>
      <c r="H302" s="2"/>
      <c r="I302" s="2"/>
      <c r="J302" s="194"/>
      <c r="K302" s="194"/>
      <c r="L302" s="194"/>
      <c r="M302" s="194"/>
      <c r="N302" s="194"/>
      <c r="O302" s="194"/>
      <c r="P302" s="2"/>
      <c r="Q302" s="2"/>
      <c r="R302" s="2"/>
      <c r="S302" s="2"/>
    </row>
    <row r="303" spans="1:19" s="2" customFormat="1" x14ac:dyDescent="0.3">
      <c r="J303" s="194"/>
      <c r="K303" s="194"/>
      <c r="L303" s="194"/>
      <c r="M303" s="194"/>
      <c r="N303" s="194"/>
      <c r="O303" s="194"/>
    </row>
    <row r="304" spans="1:19" s="2" customFormat="1" x14ac:dyDescent="0.3">
      <c r="J304" s="194"/>
      <c r="K304" s="194"/>
      <c r="L304" s="194"/>
      <c r="M304" s="194"/>
      <c r="N304" s="194"/>
      <c r="O304" s="194"/>
    </row>
    <row r="305" spans="10:15" s="2" customFormat="1" x14ac:dyDescent="0.3">
      <c r="J305" s="194"/>
      <c r="K305" s="194"/>
      <c r="L305" s="194"/>
      <c r="M305" s="194"/>
      <c r="N305" s="194"/>
      <c r="O305" s="194"/>
    </row>
    <row r="306" spans="10:15" s="2" customFormat="1" x14ac:dyDescent="0.3">
      <c r="J306" s="194"/>
      <c r="K306" s="194"/>
      <c r="L306" s="194"/>
      <c r="M306" s="194"/>
      <c r="N306" s="194"/>
      <c r="O306" s="194"/>
    </row>
    <row r="307" spans="10:15" s="2" customFormat="1" x14ac:dyDescent="0.3">
      <c r="J307" s="194"/>
      <c r="K307" s="194"/>
      <c r="L307" s="194"/>
      <c r="M307" s="194"/>
      <c r="N307" s="194"/>
      <c r="O307" s="194"/>
    </row>
    <row r="308" spans="10:15" s="2" customFormat="1" x14ac:dyDescent="0.3">
      <c r="J308" s="194"/>
      <c r="K308" s="194"/>
      <c r="L308" s="194"/>
      <c r="M308" s="194"/>
      <c r="N308" s="194"/>
      <c r="O308" s="194"/>
    </row>
    <row r="309" spans="10:15" s="2" customFormat="1" x14ac:dyDescent="0.3">
      <c r="J309" s="194"/>
      <c r="K309" s="194"/>
      <c r="L309" s="194"/>
      <c r="M309" s="194"/>
      <c r="N309" s="194"/>
      <c r="O309" s="194"/>
    </row>
    <row r="310" spans="10:15" s="2" customFormat="1" x14ac:dyDescent="0.3">
      <c r="J310" s="194"/>
      <c r="K310" s="194"/>
      <c r="L310" s="194"/>
      <c r="M310" s="194"/>
      <c r="N310" s="194"/>
      <c r="O310" s="194"/>
    </row>
    <row r="311" spans="10:15" s="2" customFormat="1" x14ac:dyDescent="0.3">
      <c r="J311" s="194"/>
      <c r="K311" s="194"/>
      <c r="L311" s="194"/>
      <c r="M311" s="194"/>
      <c r="N311" s="194"/>
      <c r="O311" s="194"/>
    </row>
    <row r="312" spans="10:15" s="2" customFormat="1" x14ac:dyDescent="0.3">
      <c r="J312" s="194"/>
      <c r="K312" s="194"/>
      <c r="L312" s="194"/>
      <c r="M312" s="194"/>
      <c r="N312" s="194"/>
      <c r="O312" s="194"/>
    </row>
    <row r="313" spans="10:15" s="2" customFormat="1" x14ac:dyDescent="0.3">
      <c r="J313" s="194"/>
      <c r="K313" s="194"/>
      <c r="L313" s="194"/>
      <c r="M313" s="194"/>
      <c r="N313" s="194"/>
      <c r="O313" s="194"/>
    </row>
    <row r="314" spans="10:15" s="2" customFormat="1" x14ac:dyDescent="0.3">
      <c r="J314" s="194"/>
      <c r="K314" s="194"/>
      <c r="L314" s="194"/>
      <c r="M314" s="194"/>
      <c r="N314" s="194"/>
      <c r="O314" s="194"/>
    </row>
    <row r="315" spans="10:15" s="2" customFormat="1" x14ac:dyDescent="0.3">
      <c r="J315" s="194"/>
      <c r="K315" s="194"/>
      <c r="L315" s="194"/>
      <c r="M315" s="194"/>
      <c r="N315" s="194"/>
      <c r="O315" s="194"/>
    </row>
    <row r="316" spans="10:15" s="2" customFormat="1" x14ac:dyDescent="0.3">
      <c r="J316" s="194"/>
      <c r="K316" s="194"/>
      <c r="L316" s="194"/>
      <c r="M316" s="194"/>
      <c r="N316" s="194"/>
      <c r="O316" s="194"/>
    </row>
    <row r="317" spans="10:15" s="2" customFormat="1" x14ac:dyDescent="0.3">
      <c r="J317" s="194"/>
      <c r="K317" s="194"/>
      <c r="L317" s="194"/>
      <c r="M317" s="194"/>
      <c r="N317" s="194"/>
      <c r="O317" s="194"/>
    </row>
    <row r="318" spans="10:15" s="2" customFormat="1" x14ac:dyDescent="0.3">
      <c r="J318" s="194"/>
      <c r="K318" s="194"/>
      <c r="L318" s="194"/>
      <c r="M318" s="194"/>
      <c r="N318" s="194"/>
      <c r="O318" s="194"/>
    </row>
    <row r="319" spans="10:15" s="2" customFormat="1" x14ac:dyDescent="0.3">
      <c r="J319" s="194"/>
      <c r="K319" s="194"/>
      <c r="L319" s="194"/>
      <c r="M319" s="194"/>
      <c r="N319" s="194"/>
      <c r="O319" s="194"/>
    </row>
    <row r="320" spans="10:15" s="2" customFormat="1" x14ac:dyDescent="0.3">
      <c r="J320" s="194"/>
      <c r="K320" s="194"/>
      <c r="L320" s="194"/>
      <c r="M320" s="194"/>
      <c r="N320" s="194"/>
      <c r="O320" s="194"/>
    </row>
    <row r="321" spans="1:19" s="2" customFormat="1" x14ac:dyDescent="0.3">
      <c r="J321" s="194"/>
      <c r="K321" s="194"/>
      <c r="L321" s="194"/>
      <c r="M321" s="194"/>
      <c r="N321" s="194"/>
      <c r="O321" s="194"/>
    </row>
    <row r="322" spans="1:19" s="2" customFormat="1" x14ac:dyDescent="0.3">
      <c r="J322" s="194"/>
      <c r="K322" s="194"/>
      <c r="L322" s="194"/>
      <c r="M322" s="194"/>
      <c r="N322" s="194"/>
      <c r="O322" s="194"/>
    </row>
    <row r="323" spans="1:19" s="2" customFormat="1" x14ac:dyDescent="0.3">
      <c r="J323" s="194"/>
      <c r="K323" s="194"/>
      <c r="L323" s="194"/>
      <c r="M323" s="194"/>
      <c r="N323" s="194"/>
      <c r="O323" s="194"/>
    </row>
    <row r="324" spans="1:19" s="2" customFormat="1" x14ac:dyDescent="0.3">
      <c r="J324" s="194"/>
      <c r="K324" s="194"/>
      <c r="L324" s="194"/>
      <c r="M324" s="194"/>
      <c r="N324" s="194"/>
      <c r="O324" s="194"/>
    </row>
    <row r="325" spans="1:19" s="2" customFormat="1" x14ac:dyDescent="0.3">
      <c r="J325" s="194"/>
      <c r="K325" s="194"/>
      <c r="L325" s="194"/>
      <c r="M325" s="194"/>
      <c r="N325" s="194"/>
      <c r="O325" s="194"/>
    </row>
    <row r="326" spans="1:19" s="2" customFormat="1" x14ac:dyDescent="0.3">
      <c r="J326" s="194"/>
      <c r="K326" s="194"/>
      <c r="L326" s="194"/>
      <c r="M326" s="194"/>
      <c r="N326" s="194"/>
      <c r="O326" s="194"/>
    </row>
    <row r="327" spans="1:19" s="2" customFormat="1" x14ac:dyDescent="0.3">
      <c r="J327" s="194"/>
      <c r="K327" s="194"/>
      <c r="L327" s="194"/>
      <c r="M327" s="194"/>
      <c r="N327" s="194"/>
      <c r="O327" s="194"/>
    </row>
    <row r="328" spans="1:19" s="2" customFormat="1" x14ac:dyDescent="0.3">
      <c r="J328" s="194"/>
      <c r="K328" s="194"/>
      <c r="L328" s="194"/>
      <c r="M328" s="194"/>
      <c r="N328" s="194"/>
      <c r="O328" s="194"/>
    </row>
    <row r="329" spans="1:19" s="2" customFormat="1" x14ac:dyDescent="0.3">
      <c r="J329" s="194"/>
      <c r="K329" s="194"/>
      <c r="L329" s="194"/>
      <c r="M329" s="194"/>
      <c r="N329" s="194"/>
      <c r="O329" s="194"/>
    </row>
    <row r="330" spans="1:19" s="2" customFormat="1" x14ac:dyDescent="0.3">
      <c r="J330" s="194"/>
      <c r="K330" s="194"/>
      <c r="L330" s="194"/>
      <c r="M330" s="194"/>
      <c r="N330" s="194"/>
      <c r="O330" s="194"/>
    </row>
    <row r="331" spans="1:19" s="2" customFormat="1" x14ac:dyDescent="0.3">
      <c r="B331" s="2" t="s">
        <v>1147</v>
      </c>
    </row>
    <row r="332" spans="1:19" x14ac:dyDescent="0.3">
      <c r="A332" s="2"/>
      <c r="B332" s="2"/>
      <c r="C332" s="2"/>
      <c r="D332" s="2"/>
      <c r="E332" s="2"/>
      <c r="F332" s="2"/>
      <c r="G332" s="2"/>
      <c r="H332" s="2"/>
      <c r="I332" s="2"/>
      <c r="J332" s="2"/>
      <c r="K332" s="2"/>
      <c r="L332" s="2"/>
      <c r="M332" s="2"/>
      <c r="N332" s="2"/>
      <c r="O332" s="2"/>
      <c r="P332" s="2"/>
      <c r="Q332" s="2"/>
      <c r="R332" s="2"/>
      <c r="S332" s="2"/>
    </row>
    <row r="333" spans="1:19" x14ac:dyDescent="0.3">
      <c r="A333" s="2"/>
      <c r="B333" s="2"/>
      <c r="C333" s="2"/>
      <c r="D333" s="2"/>
      <c r="E333" s="2"/>
      <c r="F333" s="2"/>
      <c r="G333" s="2"/>
      <c r="H333" s="2"/>
      <c r="I333" s="2"/>
      <c r="J333" s="2"/>
      <c r="K333" s="2"/>
      <c r="L333" s="2"/>
      <c r="M333" s="2"/>
      <c r="N333" s="2"/>
      <c r="O333" s="2"/>
      <c r="P333" s="2"/>
      <c r="Q333" s="2"/>
      <c r="R333" s="2"/>
      <c r="S333" s="2"/>
    </row>
    <row r="334" spans="1:19" x14ac:dyDescent="0.3">
      <c r="A334" s="2"/>
      <c r="B334" s="2"/>
      <c r="C334" s="2"/>
      <c r="D334" s="2"/>
      <c r="E334" s="2"/>
      <c r="F334" s="2"/>
      <c r="G334" s="2"/>
      <c r="H334" s="2"/>
      <c r="I334" s="2"/>
      <c r="J334" s="2"/>
      <c r="K334" s="2"/>
      <c r="L334" s="2"/>
      <c r="M334" s="2"/>
      <c r="N334" s="2"/>
      <c r="O334" s="2"/>
      <c r="P334" s="2"/>
      <c r="Q334" s="2"/>
      <c r="R334" s="2"/>
      <c r="S334" s="2"/>
    </row>
    <row r="335" spans="1:19" x14ac:dyDescent="0.3">
      <c r="A335" s="2"/>
      <c r="B335" s="2"/>
      <c r="C335" s="2"/>
      <c r="D335" s="2"/>
      <c r="E335" s="2"/>
      <c r="F335" s="2"/>
      <c r="G335" s="2"/>
      <c r="H335" s="2"/>
      <c r="I335" s="2"/>
      <c r="J335" s="2"/>
      <c r="K335" s="2"/>
      <c r="L335" s="2"/>
      <c r="M335" s="2"/>
      <c r="N335" s="2"/>
      <c r="O335" s="2"/>
      <c r="P335" s="2"/>
      <c r="Q335" s="2"/>
      <c r="R335" s="2"/>
      <c r="S335" s="2"/>
    </row>
    <row r="336" spans="1:19" x14ac:dyDescent="0.3">
      <c r="A336" s="2"/>
      <c r="B336" s="2"/>
      <c r="C336" s="2"/>
      <c r="D336" s="2"/>
      <c r="E336" s="2"/>
      <c r="F336" s="2"/>
      <c r="G336" s="2"/>
      <c r="H336" s="2"/>
      <c r="I336" s="2"/>
      <c r="J336" s="2"/>
      <c r="K336" s="2"/>
      <c r="L336" s="2"/>
      <c r="M336" s="2"/>
      <c r="N336" s="2"/>
      <c r="O336" s="2"/>
      <c r="P336" s="2"/>
      <c r="Q336" s="2"/>
      <c r="R336" s="2"/>
      <c r="S336" s="2"/>
    </row>
    <row r="337" spans="1:19" x14ac:dyDescent="0.3">
      <c r="A337" s="2"/>
      <c r="B337" s="2"/>
      <c r="C337" s="2"/>
      <c r="D337" s="2"/>
      <c r="E337" s="2"/>
      <c r="F337" s="2"/>
      <c r="G337" s="2"/>
      <c r="H337" s="2"/>
      <c r="I337" s="2"/>
      <c r="J337" s="2"/>
      <c r="K337" s="2"/>
      <c r="L337" s="2"/>
      <c r="M337" s="2"/>
      <c r="N337" s="2"/>
      <c r="O337" s="2"/>
      <c r="P337" s="2"/>
      <c r="Q337" s="2"/>
      <c r="R337" s="2"/>
      <c r="S337" s="2"/>
    </row>
    <row r="338" spans="1:19" ht="14.4" customHeight="1" x14ac:dyDescent="0.3">
      <c r="A338" s="2"/>
      <c r="B338" s="2"/>
      <c r="C338" s="2"/>
      <c r="D338" s="2"/>
      <c r="E338" s="2"/>
      <c r="F338" s="2"/>
      <c r="G338" s="2"/>
      <c r="H338" s="2"/>
      <c r="I338" s="2"/>
      <c r="J338" s="181" t="s">
        <v>1148</v>
      </c>
      <c r="K338" s="182"/>
      <c r="L338" s="182"/>
      <c r="M338" s="182"/>
      <c r="N338" s="182"/>
      <c r="O338" s="183"/>
      <c r="P338" s="2"/>
      <c r="Q338" s="2"/>
      <c r="R338" s="2"/>
      <c r="S338" s="2"/>
    </row>
    <row r="339" spans="1:19" x14ac:dyDescent="0.3">
      <c r="A339" s="2"/>
      <c r="B339" s="2"/>
      <c r="C339" s="2"/>
      <c r="D339" s="2"/>
      <c r="E339" s="2"/>
      <c r="F339" s="2"/>
      <c r="G339" s="2"/>
      <c r="H339" s="2"/>
      <c r="I339" s="2"/>
      <c r="J339" s="184"/>
      <c r="K339" s="185"/>
      <c r="L339" s="185"/>
      <c r="M339" s="185"/>
      <c r="N339" s="185"/>
      <c r="O339" s="186"/>
      <c r="P339" s="2"/>
      <c r="Q339" s="2"/>
      <c r="R339" s="2"/>
      <c r="S339" s="2"/>
    </row>
    <row r="340" spans="1:19" x14ac:dyDescent="0.3">
      <c r="A340" s="2"/>
      <c r="B340" s="2"/>
      <c r="C340" s="2"/>
      <c r="D340" s="2"/>
      <c r="E340" s="2"/>
      <c r="F340" s="2"/>
      <c r="G340" s="2"/>
      <c r="H340" s="2"/>
      <c r="I340" s="2"/>
      <c r="J340" s="187"/>
      <c r="K340" s="188"/>
      <c r="L340" s="188"/>
      <c r="M340" s="188"/>
      <c r="N340" s="188"/>
      <c r="O340" s="189"/>
      <c r="P340" s="2"/>
      <c r="Q340" s="2"/>
      <c r="R340" s="2"/>
      <c r="S340" s="2"/>
    </row>
    <row r="341" spans="1:19" x14ac:dyDescent="0.3">
      <c r="A341" s="2"/>
      <c r="B341" s="2"/>
      <c r="C341" s="2"/>
      <c r="D341" s="2"/>
      <c r="E341" s="2"/>
      <c r="F341" s="2"/>
      <c r="G341" s="2"/>
      <c r="H341" s="2"/>
      <c r="I341" s="2"/>
      <c r="J341" s="2"/>
      <c r="K341" s="2"/>
      <c r="L341" s="2"/>
      <c r="M341" s="2"/>
      <c r="N341" s="2"/>
      <c r="O341" s="2"/>
      <c r="P341" s="2"/>
      <c r="Q341" s="2"/>
      <c r="R341" s="2"/>
      <c r="S341" s="2"/>
    </row>
    <row r="342" spans="1:19" x14ac:dyDescent="0.3">
      <c r="A342" s="2"/>
      <c r="B342" s="2"/>
      <c r="C342" s="2"/>
      <c r="D342" s="2"/>
      <c r="E342" s="2"/>
      <c r="F342" s="2"/>
      <c r="G342" s="2"/>
      <c r="H342" s="2"/>
      <c r="I342" s="2"/>
      <c r="J342" s="2"/>
      <c r="K342" s="2"/>
      <c r="L342" s="2"/>
      <c r="M342" s="2"/>
      <c r="N342" s="2"/>
      <c r="O342" s="2"/>
      <c r="P342" s="2"/>
      <c r="Q342" s="2"/>
      <c r="R342" s="2"/>
      <c r="S342" s="2"/>
    </row>
    <row r="343" spans="1:19" x14ac:dyDescent="0.3">
      <c r="A343" s="2"/>
      <c r="B343" s="2"/>
      <c r="C343" s="2"/>
      <c r="D343" s="2"/>
      <c r="E343" s="2"/>
      <c r="F343" s="2"/>
      <c r="G343" s="2"/>
      <c r="H343" s="2"/>
      <c r="I343" s="2"/>
      <c r="J343" s="190" t="s">
        <v>1154</v>
      </c>
      <c r="K343" s="191"/>
      <c r="L343" s="191"/>
      <c r="M343" s="191"/>
      <c r="N343" s="191"/>
      <c r="O343" s="192"/>
      <c r="P343" s="2"/>
      <c r="Q343" s="2"/>
      <c r="R343" s="2"/>
      <c r="S343" s="2"/>
    </row>
    <row r="344" spans="1:19" x14ac:dyDescent="0.3">
      <c r="A344" s="2"/>
      <c r="B344" s="2"/>
      <c r="C344" s="2"/>
      <c r="D344" s="2"/>
      <c r="E344" s="2"/>
      <c r="F344" s="2"/>
      <c r="G344" s="2"/>
      <c r="H344" s="2"/>
      <c r="I344" s="2"/>
      <c r="J344" s="193"/>
      <c r="K344" s="194"/>
      <c r="L344" s="194"/>
      <c r="M344" s="194"/>
      <c r="N344" s="194"/>
      <c r="O344" s="195"/>
      <c r="P344" s="2"/>
      <c r="Q344" s="2"/>
      <c r="R344" s="2"/>
      <c r="S344" s="2"/>
    </row>
    <row r="345" spans="1:19" x14ac:dyDescent="0.3">
      <c r="A345" s="2"/>
      <c r="B345" s="2"/>
      <c r="C345" s="2"/>
      <c r="D345" s="2"/>
      <c r="E345" s="2"/>
      <c r="F345" s="2"/>
      <c r="G345" s="2"/>
      <c r="H345" s="2"/>
      <c r="I345" s="2"/>
      <c r="J345" s="193"/>
      <c r="K345" s="194"/>
      <c r="L345" s="194"/>
      <c r="M345" s="194"/>
      <c r="N345" s="194"/>
      <c r="O345" s="195"/>
      <c r="P345" s="2"/>
      <c r="Q345" s="2"/>
      <c r="R345" s="2"/>
      <c r="S345" s="2"/>
    </row>
    <row r="346" spans="1:19" x14ac:dyDescent="0.3">
      <c r="A346" s="2"/>
      <c r="B346" s="2"/>
      <c r="C346" s="2"/>
      <c r="D346" s="2"/>
      <c r="E346" s="2"/>
      <c r="F346" s="2"/>
      <c r="G346" s="2"/>
      <c r="H346" s="2"/>
      <c r="I346" s="2"/>
      <c r="J346" s="193"/>
      <c r="K346" s="194"/>
      <c r="L346" s="194"/>
      <c r="M346" s="194"/>
      <c r="N346" s="194"/>
      <c r="O346" s="195"/>
      <c r="P346" s="2"/>
      <c r="Q346" s="2"/>
      <c r="R346" s="2"/>
      <c r="S346" s="2"/>
    </row>
    <row r="347" spans="1:19" x14ac:dyDescent="0.3">
      <c r="A347" s="2"/>
      <c r="B347" s="2"/>
      <c r="C347" s="2"/>
      <c r="D347" s="2"/>
      <c r="E347" s="2"/>
      <c r="F347" s="2"/>
      <c r="G347" s="2"/>
      <c r="H347" s="2"/>
      <c r="I347" s="2"/>
      <c r="J347" s="193"/>
      <c r="K347" s="194"/>
      <c r="L347" s="194"/>
      <c r="M347" s="194"/>
      <c r="N347" s="194"/>
      <c r="O347" s="195"/>
      <c r="P347" s="2"/>
      <c r="Q347" s="2"/>
      <c r="R347" s="2"/>
      <c r="S347" s="2"/>
    </row>
    <row r="348" spans="1:19" x14ac:dyDescent="0.3">
      <c r="A348" s="2"/>
      <c r="B348" s="2"/>
      <c r="C348" s="2"/>
      <c r="D348" s="2"/>
      <c r="E348" s="2"/>
      <c r="F348" s="2"/>
      <c r="G348" s="2"/>
      <c r="H348" s="2"/>
      <c r="I348" s="2"/>
      <c r="J348" s="193"/>
      <c r="K348" s="194"/>
      <c r="L348" s="194"/>
      <c r="M348" s="194"/>
      <c r="N348" s="194"/>
      <c r="O348" s="195"/>
      <c r="P348" s="2"/>
      <c r="Q348" s="2"/>
      <c r="R348" s="2"/>
      <c r="S348" s="2"/>
    </row>
    <row r="349" spans="1:19" x14ac:dyDescent="0.3">
      <c r="A349" s="2"/>
      <c r="B349" s="2"/>
      <c r="C349" s="2"/>
      <c r="D349" s="2"/>
      <c r="E349" s="2"/>
      <c r="F349" s="2"/>
      <c r="G349" s="2"/>
      <c r="H349" s="2"/>
      <c r="I349" s="2"/>
      <c r="J349" s="193"/>
      <c r="K349" s="194"/>
      <c r="L349" s="194"/>
      <c r="M349" s="194"/>
      <c r="N349" s="194"/>
      <c r="O349" s="195"/>
      <c r="P349" s="2"/>
      <c r="Q349" s="2"/>
      <c r="R349" s="2"/>
      <c r="S349" s="2"/>
    </row>
    <row r="350" spans="1:19" x14ac:dyDescent="0.3">
      <c r="A350" s="2"/>
      <c r="B350" s="2"/>
      <c r="C350" s="2"/>
      <c r="D350" s="2"/>
      <c r="E350" s="2"/>
      <c r="F350" s="2"/>
      <c r="G350" s="2"/>
      <c r="H350" s="2"/>
      <c r="I350" s="2"/>
      <c r="J350" s="193"/>
      <c r="K350" s="194"/>
      <c r="L350" s="194"/>
      <c r="M350" s="194"/>
      <c r="N350" s="194"/>
      <c r="O350" s="195"/>
      <c r="P350" s="2"/>
      <c r="Q350" s="2"/>
      <c r="R350" s="2"/>
      <c r="S350" s="2"/>
    </row>
    <row r="351" spans="1:19" x14ac:dyDescent="0.3">
      <c r="A351" s="2"/>
      <c r="B351" s="2"/>
      <c r="C351" s="2"/>
      <c r="D351" s="2"/>
      <c r="E351" s="2"/>
      <c r="F351" s="2"/>
      <c r="G351" s="2"/>
      <c r="H351" s="2"/>
      <c r="I351" s="2"/>
      <c r="J351" s="193"/>
      <c r="K351" s="194"/>
      <c r="L351" s="194"/>
      <c r="M351" s="194"/>
      <c r="N351" s="194"/>
      <c r="O351" s="195"/>
      <c r="P351" s="2"/>
      <c r="Q351" s="2"/>
      <c r="R351" s="2"/>
      <c r="S351" s="2"/>
    </row>
    <row r="352" spans="1:19" x14ac:dyDescent="0.3">
      <c r="A352" s="2"/>
      <c r="B352" s="2"/>
      <c r="C352" s="2"/>
      <c r="D352" s="2"/>
      <c r="E352" s="2"/>
      <c r="F352" s="2"/>
      <c r="G352" s="2"/>
      <c r="H352" s="2"/>
      <c r="I352" s="2"/>
      <c r="J352" s="193"/>
      <c r="K352" s="194"/>
      <c r="L352" s="194"/>
      <c r="M352" s="194"/>
      <c r="N352" s="194"/>
      <c r="O352" s="195"/>
      <c r="P352" s="2"/>
      <c r="Q352" s="2"/>
      <c r="R352" s="2"/>
      <c r="S352" s="2"/>
    </row>
    <row r="353" spans="1:19" x14ac:dyDescent="0.3">
      <c r="A353" s="2"/>
      <c r="B353" s="2"/>
      <c r="C353" s="2"/>
      <c r="D353" s="2"/>
      <c r="E353" s="2"/>
      <c r="F353" s="2"/>
      <c r="G353" s="2"/>
      <c r="H353" s="2"/>
      <c r="I353" s="2"/>
      <c r="J353" s="193"/>
      <c r="K353" s="194"/>
      <c r="L353" s="194"/>
      <c r="M353" s="194"/>
      <c r="N353" s="194"/>
      <c r="O353" s="195"/>
      <c r="P353" s="2"/>
      <c r="Q353" s="2"/>
      <c r="R353" s="2"/>
      <c r="S353" s="2"/>
    </row>
    <row r="354" spans="1:19" x14ac:dyDescent="0.3">
      <c r="A354" s="2"/>
      <c r="B354" s="2"/>
      <c r="C354" s="2"/>
      <c r="D354" s="2"/>
      <c r="E354" s="2"/>
      <c r="F354" s="2"/>
      <c r="G354" s="2"/>
      <c r="H354" s="2"/>
      <c r="I354" s="2"/>
      <c r="J354" s="193"/>
      <c r="K354" s="194"/>
      <c r="L354" s="194"/>
      <c r="M354" s="194"/>
      <c r="N354" s="194"/>
      <c r="O354" s="195"/>
      <c r="P354" s="2"/>
      <c r="Q354" s="2"/>
      <c r="R354" s="2"/>
      <c r="S354" s="2"/>
    </row>
    <row r="355" spans="1:19" x14ac:dyDescent="0.3">
      <c r="A355" s="2"/>
      <c r="B355" s="2"/>
      <c r="C355" s="2"/>
      <c r="D355" s="2"/>
      <c r="E355" s="2"/>
      <c r="F355" s="2"/>
      <c r="G355" s="2"/>
      <c r="H355" s="2"/>
      <c r="I355" s="2"/>
      <c r="J355" s="193"/>
      <c r="K355" s="194"/>
      <c r="L355" s="194"/>
      <c r="M355" s="194"/>
      <c r="N355" s="194"/>
      <c r="O355" s="195"/>
      <c r="P355" s="2"/>
      <c r="Q355" s="2"/>
      <c r="R355" s="2"/>
      <c r="S355" s="2"/>
    </row>
    <row r="356" spans="1:19" x14ac:dyDescent="0.3">
      <c r="A356" s="2"/>
      <c r="B356" s="2"/>
      <c r="C356" s="2"/>
      <c r="D356" s="2"/>
      <c r="E356" s="2"/>
      <c r="F356" s="2"/>
      <c r="G356" s="2"/>
      <c r="H356" s="2"/>
      <c r="I356" s="2"/>
      <c r="J356" s="193"/>
      <c r="K356" s="194"/>
      <c r="L356" s="194"/>
      <c r="M356" s="194"/>
      <c r="N356" s="194"/>
      <c r="O356" s="195"/>
      <c r="P356" s="2"/>
      <c r="Q356" s="2"/>
      <c r="R356" s="2"/>
      <c r="S356" s="2"/>
    </row>
    <row r="357" spans="1:19" x14ac:dyDescent="0.3">
      <c r="A357" s="2"/>
      <c r="B357" s="2"/>
      <c r="C357" s="2"/>
      <c r="D357" s="2"/>
      <c r="E357" s="2"/>
      <c r="F357" s="2"/>
      <c r="G357" s="2"/>
      <c r="H357" s="2"/>
      <c r="I357" s="2"/>
      <c r="J357" s="193"/>
      <c r="K357" s="194"/>
      <c r="L357" s="194"/>
      <c r="M357" s="194"/>
      <c r="N357" s="194"/>
      <c r="O357" s="195"/>
      <c r="P357" s="2"/>
      <c r="Q357" s="2"/>
      <c r="R357" s="2"/>
      <c r="S357" s="2"/>
    </row>
    <row r="358" spans="1:19" x14ac:dyDescent="0.3">
      <c r="A358" s="2"/>
      <c r="B358" s="2"/>
      <c r="C358" s="2"/>
      <c r="D358" s="2"/>
      <c r="E358" s="2"/>
      <c r="F358" s="2"/>
      <c r="G358" s="2"/>
      <c r="H358" s="2"/>
      <c r="I358" s="2"/>
      <c r="J358" s="193"/>
      <c r="K358" s="194"/>
      <c r="L358" s="194"/>
      <c r="M358" s="194"/>
      <c r="N358" s="194"/>
      <c r="O358" s="195"/>
      <c r="P358" s="2"/>
      <c r="Q358" s="2"/>
      <c r="R358" s="2"/>
      <c r="S358" s="2"/>
    </row>
    <row r="359" spans="1:19" x14ac:dyDescent="0.3">
      <c r="A359" s="2"/>
      <c r="B359" s="2"/>
      <c r="C359" s="2"/>
      <c r="D359" s="2"/>
      <c r="E359" s="2"/>
      <c r="F359" s="2"/>
      <c r="G359" s="2"/>
      <c r="H359" s="2"/>
      <c r="I359" s="2"/>
      <c r="J359" s="193"/>
      <c r="K359" s="194"/>
      <c r="L359" s="194"/>
      <c r="M359" s="194"/>
      <c r="N359" s="194"/>
      <c r="O359" s="195"/>
      <c r="P359" s="2"/>
      <c r="Q359" s="2"/>
      <c r="R359" s="2"/>
      <c r="S359" s="2"/>
    </row>
    <row r="360" spans="1:19" x14ac:dyDescent="0.3">
      <c r="A360" s="2"/>
      <c r="B360" s="2"/>
      <c r="C360" s="2"/>
      <c r="D360" s="2"/>
      <c r="E360" s="2"/>
      <c r="F360" s="2"/>
      <c r="G360" s="2"/>
      <c r="H360" s="2"/>
      <c r="I360" s="2"/>
      <c r="J360" s="193"/>
      <c r="K360" s="194"/>
      <c r="L360" s="194"/>
      <c r="M360" s="194"/>
      <c r="N360" s="194"/>
      <c r="O360" s="195"/>
      <c r="P360" s="2"/>
      <c r="Q360" s="2"/>
      <c r="R360" s="2"/>
      <c r="S360" s="2"/>
    </row>
    <row r="361" spans="1:19" x14ac:dyDescent="0.3">
      <c r="A361" s="2"/>
      <c r="B361" s="2"/>
      <c r="C361" s="2"/>
      <c r="D361" s="2"/>
      <c r="E361" s="2"/>
      <c r="F361" s="2"/>
      <c r="G361" s="2"/>
      <c r="H361" s="2"/>
      <c r="I361" s="2"/>
      <c r="J361" s="193"/>
      <c r="K361" s="194"/>
      <c r="L361" s="194"/>
      <c r="M361" s="194"/>
      <c r="N361" s="194"/>
      <c r="O361" s="195"/>
      <c r="P361" s="2"/>
      <c r="Q361" s="2"/>
      <c r="R361" s="2"/>
      <c r="S361" s="2"/>
    </row>
    <row r="362" spans="1:19" x14ac:dyDescent="0.3">
      <c r="A362" s="2"/>
      <c r="B362" s="2"/>
      <c r="C362" s="2"/>
      <c r="D362" s="2"/>
      <c r="E362" s="2"/>
      <c r="F362" s="2"/>
      <c r="G362" s="2"/>
      <c r="H362" s="2"/>
      <c r="I362" s="2"/>
      <c r="J362" s="193"/>
      <c r="K362" s="194"/>
      <c r="L362" s="194"/>
      <c r="M362" s="194"/>
      <c r="N362" s="194"/>
      <c r="O362" s="195"/>
      <c r="P362" s="2"/>
      <c r="Q362" s="2"/>
      <c r="R362" s="2"/>
      <c r="S362" s="2"/>
    </row>
    <row r="363" spans="1:19" x14ac:dyDescent="0.3">
      <c r="A363" s="2"/>
      <c r="B363" s="2"/>
      <c r="C363" s="2"/>
      <c r="D363" s="2"/>
      <c r="E363" s="2"/>
      <c r="F363" s="2"/>
      <c r="G363" s="2"/>
      <c r="H363" s="2"/>
      <c r="I363" s="2"/>
      <c r="J363" s="193"/>
      <c r="K363" s="194"/>
      <c r="L363" s="194"/>
      <c r="M363" s="194"/>
      <c r="N363" s="194"/>
      <c r="O363" s="195"/>
      <c r="P363" s="2"/>
      <c r="Q363" s="2"/>
      <c r="R363" s="2"/>
      <c r="S363" s="2"/>
    </row>
    <row r="364" spans="1:19" x14ac:dyDescent="0.3">
      <c r="A364" s="2"/>
      <c r="B364" s="2"/>
      <c r="C364" s="2"/>
      <c r="D364" s="2"/>
      <c r="E364" s="2"/>
      <c r="F364" s="2"/>
      <c r="G364" s="2"/>
      <c r="H364" s="2"/>
      <c r="I364" s="2"/>
      <c r="J364" s="193"/>
      <c r="K364" s="194"/>
      <c r="L364" s="194"/>
      <c r="M364" s="194"/>
      <c r="N364" s="194"/>
      <c r="O364" s="195"/>
      <c r="P364" s="2"/>
      <c r="Q364" s="2"/>
      <c r="R364" s="2"/>
      <c r="S364" s="2"/>
    </row>
    <row r="365" spans="1:19" x14ac:dyDescent="0.3">
      <c r="A365" s="2"/>
      <c r="B365" s="2"/>
      <c r="C365" s="2"/>
      <c r="D365" s="2"/>
      <c r="E365" s="2"/>
      <c r="F365" s="2"/>
      <c r="G365" s="2"/>
      <c r="H365" s="2"/>
      <c r="I365" s="2"/>
      <c r="J365" s="193"/>
      <c r="K365" s="194"/>
      <c r="L365" s="194"/>
      <c r="M365" s="194"/>
      <c r="N365" s="194"/>
      <c r="O365" s="195"/>
      <c r="P365" s="2"/>
      <c r="Q365" s="2"/>
      <c r="R365" s="2"/>
      <c r="S365" s="2"/>
    </row>
    <row r="366" spans="1:19" x14ac:dyDescent="0.3">
      <c r="A366" s="2"/>
      <c r="B366" s="2"/>
      <c r="C366" s="2"/>
      <c r="D366" s="2"/>
      <c r="E366" s="2"/>
      <c r="F366" s="2"/>
      <c r="G366" s="2"/>
      <c r="H366" s="2"/>
      <c r="I366" s="2"/>
      <c r="J366" s="193"/>
      <c r="K366" s="194"/>
      <c r="L366" s="194"/>
      <c r="M366" s="194"/>
      <c r="N366" s="194"/>
      <c r="O366" s="195"/>
      <c r="P366" s="2"/>
      <c r="Q366" s="2"/>
      <c r="R366" s="2"/>
      <c r="S366" s="2"/>
    </row>
    <row r="367" spans="1:19" x14ac:dyDescent="0.3">
      <c r="A367" s="2"/>
      <c r="B367" s="2"/>
      <c r="C367" s="2"/>
      <c r="D367" s="2"/>
      <c r="E367" s="2"/>
      <c r="F367" s="2"/>
      <c r="G367" s="2"/>
      <c r="H367" s="2"/>
      <c r="I367" s="2"/>
      <c r="J367" s="193"/>
      <c r="K367" s="194"/>
      <c r="L367" s="194"/>
      <c r="M367" s="194"/>
      <c r="N367" s="194"/>
      <c r="O367" s="195"/>
      <c r="P367" s="2"/>
      <c r="Q367" s="2"/>
      <c r="R367" s="2"/>
      <c r="S367" s="2"/>
    </row>
    <row r="368" spans="1:19" x14ac:dyDescent="0.3">
      <c r="A368" s="2"/>
      <c r="B368" s="2"/>
      <c r="C368" s="2"/>
      <c r="D368" s="2"/>
      <c r="E368" s="2"/>
      <c r="F368" s="2"/>
      <c r="G368" s="2"/>
      <c r="H368" s="2"/>
      <c r="I368" s="2"/>
      <c r="J368" s="193"/>
      <c r="K368" s="194"/>
      <c r="L368" s="194"/>
      <c r="M368" s="194"/>
      <c r="N368" s="194"/>
      <c r="O368" s="195"/>
      <c r="P368" s="2"/>
      <c r="Q368" s="2"/>
      <c r="R368" s="2"/>
      <c r="S368" s="2"/>
    </row>
    <row r="369" spans="1:19" x14ac:dyDescent="0.3">
      <c r="A369" s="2"/>
      <c r="B369" s="2"/>
      <c r="C369" s="2"/>
      <c r="D369" s="2"/>
      <c r="E369" s="2"/>
      <c r="F369" s="2"/>
      <c r="G369" s="2"/>
      <c r="H369" s="2"/>
      <c r="I369" s="2"/>
      <c r="J369" s="193"/>
      <c r="K369" s="194"/>
      <c r="L369" s="194"/>
      <c r="M369" s="194"/>
      <c r="N369" s="194"/>
      <c r="O369" s="195"/>
      <c r="P369" s="2"/>
      <c r="Q369" s="2"/>
      <c r="R369" s="2"/>
      <c r="S369" s="2"/>
    </row>
    <row r="370" spans="1:19" x14ac:dyDescent="0.3">
      <c r="A370" s="2"/>
      <c r="B370" s="2"/>
      <c r="C370" s="2"/>
      <c r="D370" s="2"/>
      <c r="E370" s="2"/>
      <c r="F370" s="2"/>
      <c r="G370" s="2"/>
      <c r="H370" s="2"/>
      <c r="I370" s="2"/>
      <c r="J370" s="193"/>
      <c r="K370" s="194"/>
      <c r="L370" s="194"/>
      <c r="M370" s="194"/>
      <c r="N370" s="194"/>
      <c r="O370" s="195"/>
      <c r="P370" s="2"/>
      <c r="Q370" s="2"/>
      <c r="R370" s="2"/>
      <c r="S370" s="2"/>
    </row>
    <row r="371" spans="1:19" x14ac:dyDescent="0.3">
      <c r="A371" s="2"/>
      <c r="B371" s="2"/>
      <c r="C371" s="2"/>
      <c r="D371" s="2"/>
      <c r="E371" s="2"/>
      <c r="F371" s="2"/>
      <c r="G371" s="2"/>
      <c r="H371" s="2"/>
      <c r="I371" s="2"/>
      <c r="J371" s="196"/>
      <c r="K371" s="197"/>
      <c r="L371" s="197"/>
      <c r="M371" s="197"/>
      <c r="N371" s="197"/>
      <c r="O371" s="198"/>
      <c r="P371" s="2"/>
      <c r="Q371" s="2"/>
      <c r="R371" s="2"/>
      <c r="S371" s="2"/>
    </row>
    <row r="372" spans="1:19" x14ac:dyDescent="0.3">
      <c r="A372" s="2"/>
      <c r="B372" s="2"/>
      <c r="C372" s="2"/>
      <c r="D372" s="2"/>
      <c r="E372" s="2"/>
      <c r="F372" s="2"/>
      <c r="G372" s="2"/>
      <c r="H372" s="2"/>
      <c r="I372" s="2"/>
      <c r="J372" s="2"/>
      <c r="K372" s="2"/>
      <c r="L372" s="2"/>
      <c r="M372" s="2"/>
      <c r="N372" s="2"/>
      <c r="O372" s="2"/>
      <c r="P372" s="2"/>
      <c r="Q372" s="2"/>
      <c r="R372" s="2"/>
      <c r="S372" s="2"/>
    </row>
    <row r="373" spans="1:19" x14ac:dyDescent="0.3">
      <c r="A373" s="2"/>
      <c r="B373" s="2"/>
      <c r="C373" s="2"/>
      <c r="D373" s="2"/>
      <c r="E373" s="2"/>
      <c r="F373" s="2"/>
      <c r="G373" s="2"/>
      <c r="H373" s="2"/>
      <c r="I373" s="2"/>
      <c r="J373" s="2"/>
      <c r="K373" s="2"/>
      <c r="L373" s="2"/>
      <c r="M373" s="2"/>
      <c r="N373" s="2"/>
      <c r="O373" s="2"/>
      <c r="P373" s="2"/>
      <c r="Q373" s="2"/>
      <c r="R373" s="2"/>
      <c r="S373" s="2"/>
    </row>
    <row r="374" spans="1:19" x14ac:dyDescent="0.3">
      <c r="A374" s="2"/>
      <c r="B374" s="2"/>
      <c r="C374" s="2"/>
      <c r="D374" s="2"/>
      <c r="E374" s="2"/>
      <c r="F374" s="2"/>
      <c r="G374" s="2"/>
      <c r="H374" s="2"/>
      <c r="I374" s="2"/>
      <c r="J374" s="2"/>
      <c r="K374" s="2"/>
      <c r="L374" s="2"/>
      <c r="M374" s="2"/>
      <c r="N374" s="2"/>
      <c r="O374" s="2"/>
      <c r="P374" s="2"/>
      <c r="Q374" s="2"/>
      <c r="R374" s="2"/>
      <c r="S374" s="2"/>
    </row>
    <row r="375" spans="1:19" x14ac:dyDescent="0.3">
      <c r="A375" s="2"/>
      <c r="B375" s="2"/>
      <c r="C375" s="2"/>
      <c r="D375" s="2"/>
      <c r="E375" s="2"/>
      <c r="F375" s="2"/>
      <c r="G375" s="2"/>
      <c r="H375" s="2"/>
      <c r="I375" s="2"/>
      <c r="J375" s="2"/>
      <c r="K375" s="2"/>
      <c r="L375" s="2"/>
      <c r="M375" s="2"/>
      <c r="N375" s="2"/>
      <c r="O375" s="2"/>
      <c r="P375" s="2"/>
      <c r="Q375" s="2"/>
      <c r="R375" s="2"/>
      <c r="S375" s="2"/>
    </row>
    <row r="376" spans="1:19" x14ac:dyDescent="0.3">
      <c r="A376" s="2"/>
      <c r="B376" s="2"/>
      <c r="C376" s="2"/>
      <c r="D376" s="2"/>
      <c r="E376" s="2"/>
      <c r="F376" s="2"/>
      <c r="G376" s="2"/>
      <c r="H376" s="2"/>
      <c r="I376" s="2"/>
      <c r="J376" s="2"/>
      <c r="K376" s="2"/>
      <c r="L376" s="2"/>
      <c r="M376" s="2"/>
      <c r="N376" s="2"/>
      <c r="O376" s="2"/>
      <c r="P376" s="2"/>
      <c r="Q376" s="2"/>
      <c r="R376" s="2"/>
      <c r="S376" s="2"/>
    </row>
    <row r="377" spans="1:19" x14ac:dyDescent="0.3">
      <c r="A377" s="2"/>
      <c r="B377" s="2"/>
      <c r="C377" s="2"/>
      <c r="D377" s="2"/>
      <c r="E377" s="2"/>
      <c r="F377" s="2"/>
      <c r="G377" s="2"/>
      <c r="H377" s="2"/>
      <c r="I377" s="2"/>
      <c r="J377" s="2"/>
      <c r="K377" s="2"/>
      <c r="L377" s="2"/>
      <c r="M377" s="2"/>
      <c r="N377" s="2"/>
      <c r="O377" s="2"/>
      <c r="P377" s="2"/>
      <c r="Q377" s="2"/>
      <c r="R377" s="2"/>
      <c r="S377" s="2"/>
    </row>
    <row r="378" spans="1:19" x14ac:dyDescent="0.3">
      <c r="A378" s="2"/>
      <c r="B378" s="2"/>
      <c r="C378" s="2"/>
      <c r="D378" s="2"/>
      <c r="E378" s="2"/>
      <c r="F378" s="2"/>
      <c r="G378" s="2"/>
      <c r="H378" s="2"/>
      <c r="I378" s="2"/>
      <c r="J378" s="2"/>
      <c r="K378" s="2"/>
      <c r="L378" s="2"/>
      <c r="M378" s="2"/>
      <c r="N378" s="2"/>
      <c r="O378" s="2"/>
      <c r="P378" s="2"/>
      <c r="Q378" s="2"/>
      <c r="R378" s="2"/>
      <c r="S378" s="2"/>
    </row>
    <row r="379" spans="1:19" x14ac:dyDescent="0.3">
      <c r="A379" s="2"/>
      <c r="B379" s="2"/>
      <c r="C379" s="2"/>
      <c r="D379" s="2"/>
      <c r="E379" s="2"/>
      <c r="F379" s="2"/>
      <c r="G379" s="2"/>
      <c r="H379" s="2"/>
      <c r="I379" s="2"/>
      <c r="J379" s="2"/>
      <c r="K379" s="2"/>
      <c r="L379" s="2"/>
      <c r="M379" s="2"/>
      <c r="N379" s="2"/>
      <c r="O379" s="2"/>
      <c r="P379" s="2"/>
      <c r="Q379" s="2"/>
      <c r="R379" s="2"/>
      <c r="S379" s="2"/>
    </row>
    <row r="380" spans="1:19" x14ac:dyDescent="0.3">
      <c r="A380" s="2"/>
      <c r="B380" s="2"/>
      <c r="C380" s="2"/>
      <c r="D380" s="2"/>
      <c r="E380" s="2"/>
      <c r="F380" s="2"/>
      <c r="G380" s="2"/>
      <c r="H380" s="2"/>
      <c r="I380" s="2"/>
      <c r="J380" s="2"/>
      <c r="K380" s="2"/>
      <c r="L380" s="2"/>
      <c r="M380" s="2"/>
      <c r="N380" s="2"/>
      <c r="O380" s="2"/>
      <c r="P380" s="2"/>
      <c r="Q380" s="2"/>
      <c r="R380" s="2"/>
      <c r="S380" s="2"/>
    </row>
    <row r="381" spans="1:19" x14ac:dyDescent="0.3">
      <c r="A381" s="2"/>
      <c r="B381" s="2"/>
      <c r="C381" s="2"/>
      <c r="D381" s="2"/>
      <c r="E381" s="2"/>
      <c r="F381" s="2"/>
      <c r="G381" s="2"/>
      <c r="H381" s="2"/>
      <c r="I381" s="2"/>
      <c r="J381" s="2"/>
      <c r="K381" s="2"/>
      <c r="L381" s="2"/>
      <c r="M381" s="2"/>
      <c r="N381" s="2"/>
      <c r="O381" s="2"/>
      <c r="P381" s="2"/>
      <c r="Q381" s="2"/>
      <c r="R381" s="2"/>
      <c r="S381" s="2"/>
    </row>
    <row r="382" spans="1:19" x14ac:dyDescent="0.3">
      <c r="A382" s="2"/>
      <c r="B382" s="2"/>
      <c r="C382" s="2"/>
      <c r="D382" s="2"/>
      <c r="E382" s="2"/>
      <c r="F382" s="2"/>
      <c r="G382" s="2"/>
      <c r="H382" s="2"/>
      <c r="I382" s="2"/>
      <c r="J382" s="2"/>
      <c r="K382" s="2"/>
      <c r="L382" s="2"/>
      <c r="M382" s="2"/>
      <c r="N382" s="2"/>
      <c r="O382" s="2"/>
      <c r="P382" s="2"/>
      <c r="Q382" s="2"/>
      <c r="R382" s="2"/>
      <c r="S382" s="2"/>
    </row>
    <row r="383" spans="1:19" x14ac:dyDescent="0.3">
      <c r="A383" s="2"/>
      <c r="B383" s="2"/>
      <c r="C383" s="2"/>
      <c r="D383" s="2"/>
      <c r="E383" s="2"/>
      <c r="F383" s="2"/>
      <c r="G383" s="2"/>
      <c r="H383" s="2"/>
      <c r="I383" s="2"/>
      <c r="J383" s="2"/>
      <c r="K383" s="2"/>
      <c r="L383" s="2"/>
      <c r="M383" s="2"/>
      <c r="N383" s="2"/>
      <c r="O383" s="2"/>
      <c r="P383" s="2"/>
      <c r="Q383" s="2"/>
      <c r="R383" s="2"/>
      <c r="S383" s="2"/>
    </row>
    <row r="384" spans="1:19" x14ac:dyDescent="0.3">
      <c r="A384" s="2"/>
      <c r="B384" s="2"/>
      <c r="C384" s="2"/>
      <c r="D384" s="2"/>
      <c r="E384" s="2"/>
      <c r="F384" s="2"/>
      <c r="G384" s="2"/>
      <c r="H384" s="2"/>
      <c r="I384" s="2"/>
      <c r="J384" s="2"/>
      <c r="K384" s="2"/>
      <c r="L384" s="2"/>
      <c r="M384" s="2"/>
      <c r="N384" s="2"/>
      <c r="O384" s="2"/>
      <c r="P384" s="2"/>
      <c r="Q384" s="2"/>
      <c r="R384" s="2"/>
      <c r="S384" s="2"/>
    </row>
    <row r="385" spans="1:19" x14ac:dyDescent="0.3">
      <c r="A385" s="2"/>
      <c r="B385" s="2"/>
      <c r="C385" s="2"/>
      <c r="D385" s="2"/>
      <c r="E385" s="2"/>
      <c r="F385" s="2"/>
      <c r="G385" s="2"/>
      <c r="H385" s="2"/>
      <c r="I385" s="2"/>
      <c r="J385" s="2"/>
      <c r="K385" s="2"/>
      <c r="L385" s="2"/>
      <c r="M385" s="2"/>
      <c r="N385" s="2"/>
      <c r="O385" s="2"/>
      <c r="P385" s="2"/>
      <c r="Q385" s="2"/>
      <c r="R385" s="2"/>
      <c r="S385" s="2"/>
    </row>
    <row r="386" spans="1:19" x14ac:dyDescent="0.3">
      <c r="A386" s="2"/>
      <c r="B386" s="2"/>
      <c r="C386" s="2"/>
      <c r="D386" s="2"/>
      <c r="E386" s="2"/>
      <c r="F386" s="2"/>
      <c r="G386" s="2"/>
      <c r="H386" s="2"/>
      <c r="I386" s="2"/>
      <c r="J386" s="2"/>
      <c r="K386" s="2"/>
      <c r="L386" s="2"/>
      <c r="M386" s="2"/>
      <c r="N386" s="2"/>
      <c r="O386" s="2"/>
      <c r="P386" s="2"/>
      <c r="Q386" s="2"/>
      <c r="R386" s="2"/>
      <c r="S386" s="2"/>
    </row>
    <row r="387" spans="1:19" x14ac:dyDescent="0.3">
      <c r="A387" s="2"/>
      <c r="B387" s="2"/>
      <c r="C387" s="2"/>
      <c r="D387" s="2"/>
      <c r="E387" s="2"/>
      <c r="F387" s="2"/>
      <c r="G387" s="2"/>
      <c r="H387" s="2"/>
      <c r="I387" s="2"/>
      <c r="J387" s="2"/>
      <c r="K387" s="2"/>
      <c r="L387" s="2"/>
      <c r="M387" s="2"/>
      <c r="N387" s="2"/>
      <c r="O387" s="2"/>
      <c r="P387" s="2"/>
      <c r="Q387" s="2"/>
      <c r="R387" s="2"/>
      <c r="S387" s="2"/>
    </row>
    <row r="388" spans="1:19" x14ac:dyDescent="0.3">
      <c r="A388" s="2"/>
      <c r="B388" s="2"/>
      <c r="C388" s="2"/>
      <c r="D388" s="2"/>
      <c r="E388" s="2"/>
      <c r="F388" s="2"/>
      <c r="G388" s="2"/>
      <c r="H388" s="2"/>
      <c r="I388" s="2"/>
      <c r="J388" s="2"/>
      <c r="K388" s="2"/>
      <c r="L388" s="2"/>
      <c r="M388" s="2"/>
      <c r="N388" s="2"/>
      <c r="O388" s="2"/>
      <c r="P388" s="2"/>
      <c r="Q388" s="2"/>
      <c r="R388" s="2"/>
      <c r="S388" s="2"/>
    </row>
    <row r="389" spans="1:19" x14ac:dyDescent="0.3">
      <c r="A389" s="2"/>
      <c r="B389" s="2"/>
      <c r="C389" s="2"/>
      <c r="D389" s="2"/>
      <c r="E389" s="2"/>
      <c r="F389" s="2"/>
      <c r="G389" s="2"/>
      <c r="H389" s="2"/>
      <c r="I389" s="2"/>
      <c r="J389" s="2"/>
      <c r="K389" s="2"/>
      <c r="L389" s="2"/>
      <c r="M389" s="2"/>
      <c r="N389" s="2"/>
      <c r="O389" s="2"/>
      <c r="P389" s="2"/>
      <c r="Q389" s="2"/>
      <c r="R389" s="2"/>
      <c r="S389" s="2"/>
    </row>
    <row r="390" spans="1:19" x14ac:dyDescent="0.3">
      <c r="A390" s="2"/>
      <c r="B390" s="2"/>
      <c r="C390" s="2"/>
      <c r="D390" s="2"/>
      <c r="E390" s="2"/>
      <c r="F390" s="2"/>
      <c r="G390" s="2"/>
      <c r="H390" s="2"/>
      <c r="I390" s="2"/>
      <c r="J390" s="2"/>
      <c r="K390" s="2"/>
      <c r="L390" s="2"/>
      <c r="M390" s="2"/>
      <c r="N390" s="2"/>
      <c r="O390" s="2"/>
      <c r="P390" s="2"/>
      <c r="Q390" s="2"/>
      <c r="R390" s="2"/>
      <c r="S390" s="2"/>
    </row>
    <row r="391" spans="1:19" x14ac:dyDescent="0.3">
      <c r="A391" s="2"/>
      <c r="B391" s="2"/>
      <c r="C391" s="2"/>
      <c r="D391" s="2"/>
      <c r="E391" s="2"/>
      <c r="F391" s="2"/>
      <c r="G391" s="2"/>
      <c r="H391" s="2"/>
      <c r="I391" s="2"/>
      <c r="J391" s="2"/>
      <c r="K391" s="2"/>
      <c r="L391" s="2"/>
      <c r="M391" s="2"/>
      <c r="N391" s="2"/>
      <c r="O391" s="2"/>
      <c r="P391" s="2"/>
      <c r="Q391" s="2"/>
      <c r="R391" s="2"/>
      <c r="S391" s="2"/>
    </row>
    <row r="392" spans="1:19" x14ac:dyDescent="0.3">
      <c r="A392" s="2"/>
      <c r="B392" s="2"/>
      <c r="C392" s="2"/>
      <c r="D392" s="2"/>
      <c r="E392" s="2"/>
      <c r="F392" s="2"/>
      <c r="G392" s="2"/>
      <c r="H392" s="2"/>
      <c r="I392" s="2"/>
      <c r="J392" s="2"/>
      <c r="K392" s="2"/>
      <c r="L392" s="2"/>
      <c r="M392" s="2"/>
      <c r="N392" s="2"/>
      <c r="O392" s="2"/>
      <c r="P392" s="2"/>
      <c r="Q392" s="2"/>
      <c r="R392" s="2"/>
      <c r="S392" s="2"/>
    </row>
    <row r="393" spans="1:19" x14ac:dyDescent="0.3">
      <c r="A393" s="2"/>
      <c r="B393" s="2"/>
      <c r="C393" s="2"/>
      <c r="D393" s="2"/>
      <c r="E393" s="2"/>
      <c r="F393" s="2"/>
      <c r="G393" s="2"/>
      <c r="H393" s="2"/>
      <c r="I393" s="2"/>
      <c r="J393" s="2"/>
      <c r="K393" s="2"/>
      <c r="L393" s="2"/>
      <c r="M393" s="2"/>
      <c r="N393" s="2"/>
      <c r="O393" s="2"/>
      <c r="P393" s="2"/>
      <c r="Q393" s="2"/>
      <c r="R393" s="2"/>
      <c r="S393" s="2"/>
    </row>
    <row r="394" spans="1:19" x14ac:dyDescent="0.3">
      <c r="A394" s="2"/>
      <c r="B394" s="2"/>
      <c r="C394" s="2"/>
      <c r="D394" s="2"/>
      <c r="E394" s="2"/>
      <c r="F394" s="2"/>
      <c r="G394" s="2"/>
      <c r="H394" s="2"/>
      <c r="I394" s="2"/>
      <c r="J394" s="2"/>
      <c r="K394" s="2"/>
      <c r="L394" s="2"/>
      <c r="M394" s="2"/>
      <c r="N394" s="2"/>
      <c r="O394" s="2"/>
      <c r="P394" s="2"/>
      <c r="Q394" s="2"/>
      <c r="R394" s="2"/>
      <c r="S394" s="2"/>
    </row>
    <row r="395" spans="1:19" x14ac:dyDescent="0.3">
      <c r="A395" s="2"/>
      <c r="B395" s="2"/>
      <c r="C395" s="2"/>
      <c r="D395" s="2"/>
      <c r="E395" s="2"/>
      <c r="F395" s="2"/>
      <c r="G395" s="2"/>
      <c r="H395" s="2"/>
      <c r="I395" s="2"/>
      <c r="J395" s="2"/>
      <c r="K395" s="2"/>
      <c r="L395" s="2"/>
      <c r="M395" s="2"/>
      <c r="N395" s="2"/>
      <c r="O395" s="2"/>
      <c r="P395" s="2"/>
      <c r="Q395" s="2"/>
      <c r="R395" s="2"/>
      <c r="S395" s="2"/>
    </row>
    <row r="396" spans="1:19" x14ac:dyDescent="0.3">
      <c r="A396" s="2"/>
      <c r="B396" s="2"/>
      <c r="C396" s="2"/>
      <c r="D396" s="2"/>
      <c r="E396" s="2"/>
      <c r="F396" s="2"/>
      <c r="G396" s="2"/>
      <c r="H396" s="2"/>
      <c r="I396" s="2"/>
      <c r="J396" s="2"/>
      <c r="K396" s="2"/>
      <c r="L396" s="2"/>
      <c r="M396" s="2"/>
      <c r="N396" s="2"/>
      <c r="O396" s="2"/>
      <c r="P396" s="2"/>
      <c r="Q396" s="2"/>
      <c r="R396" s="2"/>
      <c r="S396" s="2"/>
    </row>
    <row r="397" spans="1:19" x14ac:dyDescent="0.3">
      <c r="A397" s="2"/>
      <c r="B397" s="2"/>
      <c r="C397" s="2"/>
      <c r="D397" s="2"/>
      <c r="E397" s="2"/>
      <c r="F397" s="2"/>
      <c r="G397" s="2"/>
      <c r="H397" s="2"/>
      <c r="I397" s="2"/>
      <c r="J397" s="2"/>
      <c r="K397" s="2"/>
      <c r="L397" s="2"/>
      <c r="M397" s="2"/>
      <c r="N397" s="2"/>
      <c r="O397" s="2"/>
      <c r="P397" s="2"/>
      <c r="Q397" s="2"/>
      <c r="R397" s="2"/>
      <c r="S397" s="2"/>
    </row>
    <row r="398" spans="1:19" x14ac:dyDescent="0.3">
      <c r="A398" s="2"/>
      <c r="B398" s="2"/>
      <c r="C398" s="2"/>
      <c r="D398" s="2"/>
      <c r="E398" s="2"/>
      <c r="F398" s="2"/>
      <c r="G398" s="2"/>
      <c r="H398" s="2"/>
      <c r="I398" s="2"/>
      <c r="J398" s="2"/>
      <c r="K398" s="2"/>
      <c r="L398" s="2"/>
      <c r="M398" s="2"/>
      <c r="N398" s="2"/>
      <c r="O398" s="2"/>
      <c r="P398" s="2"/>
      <c r="Q398" s="2"/>
      <c r="R398" s="2"/>
      <c r="S398" s="2"/>
    </row>
    <row r="399" spans="1:19" x14ac:dyDescent="0.3">
      <c r="A399" s="2"/>
      <c r="B399" s="2"/>
      <c r="C399" s="2"/>
      <c r="D399" s="2"/>
      <c r="E399" s="2"/>
      <c r="F399" s="2"/>
      <c r="G399" s="2"/>
      <c r="H399" s="2"/>
      <c r="I399" s="2"/>
      <c r="J399" s="2"/>
      <c r="K399" s="2"/>
      <c r="L399" s="2"/>
      <c r="M399" s="2"/>
      <c r="N399" s="2"/>
      <c r="O399" s="2"/>
      <c r="P399" s="2"/>
      <c r="Q399" s="2"/>
      <c r="R399" s="2"/>
      <c r="S399" s="2"/>
    </row>
  </sheetData>
  <mergeCells count="263">
    <mergeCell ref="J262:O264"/>
    <mergeCell ref="J267:O288"/>
    <mergeCell ref="J295:O297"/>
    <mergeCell ref="J90:M91"/>
    <mergeCell ref="J66:K66"/>
    <mergeCell ref="J67:K67"/>
    <mergeCell ref="N104:O104"/>
    <mergeCell ref="P103:Q103"/>
    <mergeCell ref="P104:Q104"/>
    <mergeCell ref="N108:O108"/>
    <mergeCell ref="N109:O109"/>
    <mergeCell ref="N97:O97"/>
    <mergeCell ref="N98:O98"/>
    <mergeCell ref="P97:Q97"/>
    <mergeCell ref="P98:Q98"/>
    <mergeCell ref="N101:Q102"/>
    <mergeCell ref="N103:O103"/>
    <mergeCell ref="N87:Q88"/>
    <mergeCell ref="N89:O89"/>
    <mergeCell ref="N90:O90"/>
    <mergeCell ref="P89:Q89"/>
    <mergeCell ref="P90:Q90"/>
    <mergeCell ref="N95:Q96"/>
    <mergeCell ref="N79:O79"/>
    <mergeCell ref="N80:O80"/>
    <mergeCell ref="P79:Q79"/>
    <mergeCell ref="P80:Q80"/>
    <mergeCell ref="N83:O83"/>
    <mergeCell ref="N84:O84"/>
    <mergeCell ref="N70:Q71"/>
    <mergeCell ref="N72:O72"/>
    <mergeCell ref="N73:O73"/>
    <mergeCell ref="P72:Q72"/>
    <mergeCell ref="P73:Q73"/>
    <mergeCell ref="N77:Q78"/>
    <mergeCell ref="N58:O58"/>
    <mergeCell ref="P57:Q57"/>
    <mergeCell ref="P58:Q58"/>
    <mergeCell ref="N63:Q64"/>
    <mergeCell ref="N65:O65"/>
    <mergeCell ref="N66:O66"/>
    <mergeCell ref="P65:Q65"/>
    <mergeCell ref="P66:Q66"/>
    <mergeCell ref="N49:O49"/>
    <mergeCell ref="N50:O50"/>
    <mergeCell ref="P49:Q49"/>
    <mergeCell ref="P50:Q50"/>
    <mergeCell ref="N55:Q56"/>
    <mergeCell ref="N57:O57"/>
    <mergeCell ref="N39:O39"/>
    <mergeCell ref="P38:Q38"/>
    <mergeCell ref="P39:Q39"/>
    <mergeCell ref="N43:O43"/>
    <mergeCell ref="N44:O44"/>
    <mergeCell ref="N47:Q48"/>
    <mergeCell ref="J127:K127"/>
    <mergeCell ref="L126:M126"/>
    <mergeCell ref="L127:M127"/>
    <mergeCell ref="J122:K122"/>
    <mergeCell ref="L122:M122"/>
    <mergeCell ref="J126:K126"/>
    <mergeCell ref="J92:K92"/>
    <mergeCell ref="J93:K93"/>
    <mergeCell ref="L92:M92"/>
    <mergeCell ref="L93:M93"/>
    <mergeCell ref="J97:M98"/>
    <mergeCell ref="J78:K78"/>
    <mergeCell ref="J79:K79"/>
    <mergeCell ref="J83:M84"/>
    <mergeCell ref="J85:K85"/>
    <mergeCell ref="J86:K86"/>
    <mergeCell ref="L85:M85"/>
    <mergeCell ref="L86:M86"/>
    <mergeCell ref="N28:Q29"/>
    <mergeCell ref="N30:O30"/>
    <mergeCell ref="N31:O31"/>
    <mergeCell ref="P30:Q30"/>
    <mergeCell ref="P31:Q31"/>
    <mergeCell ref="N36:Q37"/>
    <mergeCell ref="N38:O38"/>
    <mergeCell ref="J119:M120"/>
    <mergeCell ref="J121:K121"/>
    <mergeCell ref="L121:M121"/>
    <mergeCell ref="J107:K107"/>
    <mergeCell ref="L106:M106"/>
    <mergeCell ref="L107:M107"/>
    <mergeCell ref="J112:M113"/>
    <mergeCell ref="J114:K114"/>
    <mergeCell ref="J115:K115"/>
    <mergeCell ref="L114:M114"/>
    <mergeCell ref="L115:M115"/>
    <mergeCell ref="J99:K99"/>
    <mergeCell ref="J100:K100"/>
    <mergeCell ref="L99:M99"/>
    <mergeCell ref="L100:M100"/>
    <mergeCell ref="J104:M105"/>
    <mergeCell ref="J106:K106"/>
    <mergeCell ref="J71:M72"/>
    <mergeCell ref="J73:K73"/>
    <mergeCell ref="J74:K74"/>
    <mergeCell ref="L73:M73"/>
    <mergeCell ref="L74:M74"/>
    <mergeCell ref="J59:M60"/>
    <mergeCell ref="J61:K61"/>
    <mergeCell ref="J62:K62"/>
    <mergeCell ref="L61:M61"/>
    <mergeCell ref="L62:M62"/>
    <mergeCell ref="J51:K51"/>
    <mergeCell ref="L50:M50"/>
    <mergeCell ref="L51:M51"/>
    <mergeCell ref="J54:K54"/>
    <mergeCell ref="J55:K55"/>
    <mergeCell ref="L54:M54"/>
    <mergeCell ref="L55:M55"/>
    <mergeCell ref="L38:M38"/>
    <mergeCell ref="L39:M39"/>
    <mergeCell ref="J43:K43"/>
    <mergeCell ref="J44:K44"/>
    <mergeCell ref="J48:M49"/>
    <mergeCell ref="J50:K50"/>
    <mergeCell ref="F123:G123"/>
    <mergeCell ref="F124:G124"/>
    <mergeCell ref="J28:M29"/>
    <mergeCell ref="J30:K30"/>
    <mergeCell ref="J31:K31"/>
    <mergeCell ref="L30:M30"/>
    <mergeCell ref="L31:M31"/>
    <mergeCell ref="J36:M37"/>
    <mergeCell ref="J38:K38"/>
    <mergeCell ref="J39:K39"/>
    <mergeCell ref="F112:G112"/>
    <mergeCell ref="F113:G113"/>
    <mergeCell ref="F117:I118"/>
    <mergeCell ref="F119:G119"/>
    <mergeCell ref="F120:G120"/>
    <mergeCell ref="H119:I119"/>
    <mergeCell ref="H120:I120"/>
    <mergeCell ref="F102:G102"/>
    <mergeCell ref="F105:I106"/>
    <mergeCell ref="F107:G107"/>
    <mergeCell ref="F108:G108"/>
    <mergeCell ref="H107:I107"/>
    <mergeCell ref="H108:I108"/>
    <mergeCell ref="F94:I95"/>
    <mergeCell ref="F96:G96"/>
    <mergeCell ref="F97:G97"/>
    <mergeCell ref="H96:I96"/>
    <mergeCell ref="H97:I97"/>
    <mergeCell ref="F101:G101"/>
    <mergeCell ref="F83:G83"/>
    <mergeCell ref="F86:I87"/>
    <mergeCell ref="F88:G88"/>
    <mergeCell ref="F89:G89"/>
    <mergeCell ref="H88:I88"/>
    <mergeCell ref="H89:I89"/>
    <mergeCell ref="F76:I77"/>
    <mergeCell ref="F78:G78"/>
    <mergeCell ref="F79:G79"/>
    <mergeCell ref="H78:I78"/>
    <mergeCell ref="H79:I79"/>
    <mergeCell ref="F82:G82"/>
    <mergeCell ref="F64:G64"/>
    <mergeCell ref="F68:I69"/>
    <mergeCell ref="F70:G70"/>
    <mergeCell ref="F71:G71"/>
    <mergeCell ref="H70:I70"/>
    <mergeCell ref="H71:I71"/>
    <mergeCell ref="F56:I57"/>
    <mergeCell ref="F58:G58"/>
    <mergeCell ref="F59:G59"/>
    <mergeCell ref="H58:I58"/>
    <mergeCell ref="H59:I59"/>
    <mergeCell ref="F63:G63"/>
    <mergeCell ref="F45:G45"/>
    <mergeCell ref="H44:I44"/>
    <mergeCell ref="H45:I45"/>
    <mergeCell ref="F48:I49"/>
    <mergeCell ref="F50:G50"/>
    <mergeCell ref="F51:G51"/>
    <mergeCell ref="H50:I50"/>
    <mergeCell ref="H51:I51"/>
    <mergeCell ref="F37:G37"/>
    <mergeCell ref="F38:G38"/>
    <mergeCell ref="H37:I37"/>
    <mergeCell ref="H38:I38"/>
    <mergeCell ref="F42:I43"/>
    <mergeCell ref="F44:G44"/>
    <mergeCell ref="B118:C118"/>
    <mergeCell ref="D117:E117"/>
    <mergeCell ref="D118:E118"/>
    <mergeCell ref="B99:C99"/>
    <mergeCell ref="B100:C100"/>
    <mergeCell ref="D99:E99"/>
    <mergeCell ref="D100:E100"/>
    <mergeCell ref="B104:C104"/>
    <mergeCell ref="B105:C105"/>
    <mergeCell ref="B108:E109"/>
    <mergeCell ref="B110:C110"/>
    <mergeCell ref="B111:C111"/>
    <mergeCell ref="B78:E79"/>
    <mergeCell ref="B59:C59"/>
    <mergeCell ref="B63:E64"/>
    <mergeCell ref="B65:C65"/>
    <mergeCell ref="B66:C66"/>
    <mergeCell ref="D65:E65"/>
    <mergeCell ref="D72:E72"/>
    <mergeCell ref="D73:E73"/>
    <mergeCell ref="D66:E66"/>
    <mergeCell ref="B115:E116"/>
    <mergeCell ref="B117:C117"/>
    <mergeCell ref="B90:E91"/>
    <mergeCell ref="B92:C92"/>
    <mergeCell ref="B93:C93"/>
    <mergeCell ref="D92:E92"/>
    <mergeCell ref="D93:E93"/>
    <mergeCell ref="B97:E98"/>
    <mergeCell ref="B80:C80"/>
    <mergeCell ref="B81:C81"/>
    <mergeCell ref="D80:E80"/>
    <mergeCell ref="D81:E81"/>
    <mergeCell ref="B85:C85"/>
    <mergeCell ref="B86:C86"/>
    <mergeCell ref="B70:E71"/>
    <mergeCell ref="B72:C72"/>
    <mergeCell ref="B73:C73"/>
    <mergeCell ref="B31:C31"/>
    <mergeCell ref="D31:E31"/>
    <mergeCell ref="B52:E53"/>
    <mergeCell ref="B54:C54"/>
    <mergeCell ref="B55:C55"/>
    <mergeCell ref="D54:E54"/>
    <mergeCell ref="D55:E55"/>
    <mergeCell ref="B58:C58"/>
    <mergeCell ref="B43:C43"/>
    <mergeCell ref="D43:E43"/>
    <mergeCell ref="B44:C44"/>
    <mergeCell ref="D44:E44"/>
    <mergeCell ref="B48:C48"/>
    <mergeCell ref="B49:C49"/>
    <mergeCell ref="J338:O340"/>
    <mergeCell ref="J343:O371"/>
    <mergeCell ref="J300:O330"/>
    <mergeCell ref="B23:Q25"/>
    <mergeCell ref="B256:O258"/>
    <mergeCell ref="B135:P137"/>
    <mergeCell ref="C3:G4"/>
    <mergeCell ref="B8:I20"/>
    <mergeCell ref="O8:R8"/>
    <mergeCell ref="B34:E35"/>
    <mergeCell ref="B36:C36"/>
    <mergeCell ref="B37:C37"/>
    <mergeCell ref="D36:E36"/>
    <mergeCell ref="D37:E37"/>
    <mergeCell ref="F28:I29"/>
    <mergeCell ref="F30:G30"/>
    <mergeCell ref="F31:G31"/>
    <mergeCell ref="H30:I30"/>
    <mergeCell ref="H31:I31"/>
    <mergeCell ref="F35:I36"/>
    <mergeCell ref="B41:E42"/>
    <mergeCell ref="B28:E29"/>
    <mergeCell ref="B30:C30"/>
    <mergeCell ref="D30:E30"/>
  </mergeCells>
  <pageMargins left="0.7" right="0.7" top="0.75" bottom="0.75" header="0.3" footer="0.3"/>
  <drawing r:id="rId4"/>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8EA1A-056E-42BA-A084-E9A0058B2E85}">
  <sheetPr codeName="Sheet4"/>
  <dimension ref="A1:X678"/>
  <sheetViews>
    <sheetView tabSelected="1" topLeftCell="K1" zoomScale="70" zoomScaleNormal="70" workbookViewId="0">
      <selection activeCell="P557" sqref="P557"/>
    </sheetView>
  </sheetViews>
  <sheetFormatPr defaultColWidth="0" defaultRowHeight="14.4" zeroHeight="1" x14ac:dyDescent="0.3"/>
  <cols>
    <col min="1" max="1" width="8.88671875" style="2" customWidth="1"/>
    <col min="2" max="2" width="14.33203125" bestFit="1" customWidth="1"/>
    <col min="3" max="3" width="25.33203125" bestFit="1" customWidth="1"/>
    <col min="4" max="5" width="27.44140625" bestFit="1" customWidth="1"/>
    <col min="6" max="6" width="38" customWidth="1"/>
    <col min="7" max="7" width="24.6640625" bestFit="1" customWidth="1"/>
    <col min="8" max="8" width="55.5546875" customWidth="1"/>
    <col min="9" max="9" width="26" bestFit="1" customWidth="1"/>
    <col min="10" max="10" width="42.44140625" customWidth="1"/>
    <col min="11" max="11" width="27.77734375" customWidth="1"/>
    <col min="12" max="12" width="34.109375" bestFit="1" customWidth="1"/>
    <col min="13" max="13" width="22.77734375" bestFit="1" customWidth="1"/>
    <col min="14" max="14" width="21.88671875" style="2" bestFit="1" customWidth="1"/>
    <col min="15" max="15" width="39.109375" style="2" customWidth="1"/>
    <col min="16" max="16" width="56" style="2" customWidth="1"/>
    <col min="17" max="17" width="26.6640625" style="2" bestFit="1" customWidth="1"/>
    <col min="18" max="18" width="29.109375" style="2" bestFit="1" customWidth="1"/>
    <col min="19" max="19" width="30.44140625" style="2" bestFit="1" customWidth="1"/>
    <col min="20" max="20" width="8.88671875" style="2" customWidth="1"/>
    <col min="21" max="16384" width="8.88671875" style="2" hidden="1"/>
  </cols>
  <sheetData>
    <row r="1" spans="1:22" customFormat="1" x14ac:dyDescent="0.3">
      <c r="A1" s="3"/>
      <c r="B1" s="4"/>
      <c r="C1" s="4"/>
      <c r="D1" s="4"/>
      <c r="E1" s="4"/>
      <c r="F1" s="4"/>
      <c r="G1" s="4"/>
      <c r="H1" s="4"/>
      <c r="I1" s="4"/>
      <c r="J1" s="4"/>
      <c r="K1" s="4"/>
      <c r="L1" s="4"/>
      <c r="M1" s="4"/>
      <c r="N1" s="4"/>
      <c r="O1" s="4"/>
      <c r="P1" s="4"/>
      <c r="Q1" s="4"/>
      <c r="R1" s="4"/>
      <c r="S1" s="4"/>
      <c r="T1" s="4"/>
    </row>
    <row r="2" spans="1:22" customFormat="1" x14ac:dyDescent="0.3">
      <c r="A2" s="6"/>
      <c r="B2" s="9"/>
      <c r="C2" s="10"/>
      <c r="D2" s="10"/>
      <c r="E2" s="10"/>
      <c r="F2" s="10"/>
      <c r="G2" s="10"/>
      <c r="H2" s="10"/>
      <c r="I2" s="10"/>
      <c r="J2" s="10"/>
      <c r="K2" s="10"/>
      <c r="L2" s="10"/>
      <c r="M2" s="10"/>
      <c r="N2" s="10"/>
      <c r="O2" s="10"/>
      <c r="P2" s="10"/>
      <c r="Q2" s="10"/>
      <c r="R2" s="10"/>
      <c r="S2" s="11"/>
      <c r="T2" s="6"/>
    </row>
    <row r="3" spans="1:22" customFormat="1" ht="21" x14ac:dyDescent="0.3">
      <c r="A3" s="6"/>
      <c r="B3" s="12"/>
      <c r="C3" s="165" t="s">
        <v>1155</v>
      </c>
      <c r="D3" s="166"/>
      <c r="E3" s="166"/>
      <c r="F3" s="166"/>
      <c r="G3" s="167"/>
      <c r="H3" s="13"/>
      <c r="I3" s="13"/>
      <c r="J3" s="13"/>
      <c r="K3" s="13"/>
      <c r="L3" s="14"/>
      <c r="M3" s="14"/>
      <c r="N3" s="14"/>
      <c r="O3" s="14"/>
      <c r="P3" s="14"/>
      <c r="Q3" s="14"/>
      <c r="R3" s="13"/>
      <c r="S3" s="132"/>
      <c r="T3" s="6"/>
      <c r="U3" s="14"/>
      <c r="V3" s="6"/>
    </row>
    <row r="4" spans="1:22" customFormat="1" ht="21" x14ac:dyDescent="0.3">
      <c r="A4" s="6"/>
      <c r="B4" s="12"/>
      <c r="C4" s="168"/>
      <c r="D4" s="169"/>
      <c r="E4" s="169"/>
      <c r="F4" s="169"/>
      <c r="G4" s="170"/>
      <c r="H4" s="13"/>
      <c r="I4" s="13"/>
      <c r="J4" s="13"/>
      <c r="K4" s="13"/>
      <c r="L4" s="14"/>
      <c r="M4" s="14"/>
      <c r="N4" s="14"/>
      <c r="O4" s="14"/>
      <c r="P4" s="14"/>
      <c r="Q4" s="14"/>
      <c r="R4" s="13"/>
      <c r="S4" s="132"/>
      <c r="T4" s="6"/>
      <c r="U4" s="14"/>
      <c r="V4" s="6"/>
    </row>
    <row r="5" spans="1:22" customFormat="1" x14ac:dyDescent="0.3">
      <c r="A5" s="6"/>
      <c r="B5" s="16"/>
      <c r="C5" s="17"/>
      <c r="D5" s="17"/>
      <c r="E5" s="17"/>
      <c r="F5" s="17"/>
      <c r="G5" s="17"/>
      <c r="H5" s="17"/>
      <c r="I5" s="17"/>
      <c r="J5" s="17"/>
      <c r="K5" s="17"/>
      <c r="L5" s="17"/>
      <c r="M5" s="17"/>
      <c r="N5" s="17"/>
      <c r="O5" s="17"/>
      <c r="P5" s="17"/>
      <c r="Q5" s="17"/>
      <c r="R5" s="17"/>
      <c r="S5" s="18"/>
      <c r="T5" s="6"/>
    </row>
    <row r="6" spans="1:22" customFormat="1" x14ac:dyDescent="0.3">
      <c r="A6" s="6"/>
      <c r="B6" s="2"/>
      <c r="C6" s="2"/>
      <c r="D6" s="2"/>
      <c r="E6" s="2"/>
      <c r="F6" s="2"/>
      <c r="G6" s="2"/>
      <c r="H6" s="2"/>
      <c r="I6" s="2"/>
      <c r="J6" s="2"/>
      <c r="K6" s="2"/>
      <c r="L6" s="2"/>
      <c r="M6" s="2"/>
      <c r="N6" s="2"/>
      <c r="O6" s="2"/>
      <c r="P6" s="2"/>
      <c r="Q6" s="2"/>
      <c r="R6" s="2"/>
      <c r="S6" s="2"/>
      <c r="T6" s="2"/>
    </row>
    <row r="7" spans="1:22" customFormat="1" x14ac:dyDescent="0.3">
      <c r="A7" s="2"/>
      <c r="B7" s="8"/>
      <c r="C7" s="8"/>
      <c r="D7" s="8"/>
      <c r="E7" s="8"/>
      <c r="F7" s="8"/>
      <c r="G7" s="8"/>
      <c r="H7" s="8"/>
      <c r="I7" s="8"/>
      <c r="J7" s="2"/>
      <c r="K7" s="2"/>
      <c r="L7" s="2"/>
      <c r="M7" s="2"/>
      <c r="N7" s="2"/>
      <c r="O7" s="2"/>
      <c r="P7" s="2"/>
      <c r="Q7" s="2"/>
      <c r="R7" s="2"/>
      <c r="S7" s="2"/>
      <c r="T7" s="2"/>
    </row>
    <row r="8" spans="1:22" customFormat="1" x14ac:dyDescent="0.3">
      <c r="A8" s="2"/>
      <c r="B8" s="190" t="s">
        <v>1598</v>
      </c>
      <c r="C8" s="191"/>
      <c r="D8" s="191"/>
      <c r="E8" s="191"/>
      <c r="F8" s="191"/>
      <c r="G8" s="191"/>
      <c r="H8" s="191"/>
      <c r="I8" s="192"/>
      <c r="J8" s="2"/>
      <c r="K8" s="289" t="s">
        <v>1760</v>
      </c>
      <c r="L8" s="290"/>
      <c r="M8" s="290"/>
      <c r="N8" s="290"/>
      <c r="O8" s="290"/>
      <c r="P8" s="290"/>
      <c r="Q8" s="291"/>
      <c r="R8" s="2"/>
      <c r="S8" s="2"/>
      <c r="T8" s="2"/>
    </row>
    <row r="9" spans="1:22" customFormat="1" x14ac:dyDescent="0.3">
      <c r="A9" s="2"/>
      <c r="B9" s="193"/>
      <c r="C9" s="194"/>
      <c r="D9" s="194"/>
      <c r="E9" s="194"/>
      <c r="F9" s="194"/>
      <c r="G9" s="194"/>
      <c r="H9" s="194"/>
      <c r="I9" s="195"/>
      <c r="J9" s="2"/>
      <c r="K9" s="126" t="s">
        <v>1780</v>
      </c>
      <c r="L9" s="129" t="s">
        <v>1792</v>
      </c>
      <c r="M9" s="129"/>
      <c r="N9" s="129" t="s">
        <v>1804</v>
      </c>
      <c r="O9" s="129" t="s">
        <v>1816</v>
      </c>
      <c r="P9" s="129" t="s">
        <v>1828</v>
      </c>
      <c r="Q9" s="130" t="s">
        <v>1840</v>
      </c>
      <c r="R9" s="2"/>
      <c r="S9" s="2"/>
      <c r="T9" s="2"/>
    </row>
    <row r="10" spans="1:22" customFormat="1" x14ac:dyDescent="0.3">
      <c r="A10" s="2"/>
      <c r="B10" s="193"/>
      <c r="C10" s="194"/>
      <c r="D10" s="194"/>
      <c r="E10" s="194"/>
      <c r="F10" s="194"/>
      <c r="G10" s="194"/>
      <c r="H10" s="194"/>
      <c r="I10" s="195"/>
      <c r="J10" s="2"/>
      <c r="K10" s="126" t="s">
        <v>1781</v>
      </c>
      <c r="L10" s="129" t="s">
        <v>1793</v>
      </c>
      <c r="M10" s="129"/>
      <c r="N10" s="129" t="s">
        <v>1805</v>
      </c>
      <c r="O10" s="129" t="s">
        <v>1817</v>
      </c>
      <c r="P10" s="129" t="s">
        <v>1829</v>
      </c>
      <c r="Q10" s="130" t="s">
        <v>1841</v>
      </c>
      <c r="R10" s="2"/>
      <c r="S10" s="2"/>
      <c r="T10" s="2"/>
    </row>
    <row r="11" spans="1:22" customFormat="1" x14ac:dyDescent="0.3">
      <c r="A11" s="2"/>
      <c r="B11" s="193"/>
      <c r="C11" s="194"/>
      <c r="D11" s="194"/>
      <c r="E11" s="194"/>
      <c r="F11" s="194"/>
      <c r="G11" s="194"/>
      <c r="H11" s="194"/>
      <c r="I11" s="195"/>
      <c r="J11" s="2"/>
      <c r="K11" s="126" t="s">
        <v>1782</v>
      </c>
      <c r="L11" s="129" t="s">
        <v>1794</v>
      </c>
      <c r="M11" s="129"/>
      <c r="N11" s="129" t="s">
        <v>1806</v>
      </c>
      <c r="O11" s="129" t="s">
        <v>1818</v>
      </c>
      <c r="P11" s="129" t="s">
        <v>1830</v>
      </c>
      <c r="Q11" s="130" t="s">
        <v>1842</v>
      </c>
      <c r="R11" s="2"/>
      <c r="S11" s="2"/>
      <c r="T11" s="2"/>
    </row>
    <row r="12" spans="1:22" customFormat="1" x14ac:dyDescent="0.3">
      <c r="A12" s="2"/>
      <c r="B12" s="193"/>
      <c r="C12" s="194"/>
      <c r="D12" s="194"/>
      <c r="E12" s="194"/>
      <c r="F12" s="194"/>
      <c r="G12" s="194"/>
      <c r="H12" s="194"/>
      <c r="I12" s="195"/>
      <c r="J12" s="2"/>
      <c r="K12" s="126" t="s">
        <v>1783</v>
      </c>
      <c r="L12" s="129" t="s">
        <v>1795</v>
      </c>
      <c r="M12" s="129"/>
      <c r="N12" s="129" t="s">
        <v>1807</v>
      </c>
      <c r="O12" s="129" t="s">
        <v>1819</v>
      </c>
      <c r="P12" s="129" t="s">
        <v>1831</v>
      </c>
      <c r="Q12" s="130" t="s">
        <v>1843</v>
      </c>
      <c r="R12" s="2"/>
      <c r="S12" s="2"/>
      <c r="T12" s="2"/>
    </row>
    <row r="13" spans="1:22" customFormat="1" x14ac:dyDescent="0.3">
      <c r="A13" s="2"/>
      <c r="B13" s="193"/>
      <c r="C13" s="194"/>
      <c r="D13" s="194"/>
      <c r="E13" s="194"/>
      <c r="F13" s="194"/>
      <c r="G13" s="194"/>
      <c r="H13" s="194"/>
      <c r="I13" s="195"/>
      <c r="J13" s="2"/>
      <c r="K13" s="126" t="s">
        <v>1784</v>
      </c>
      <c r="L13" s="129" t="s">
        <v>1796</v>
      </c>
      <c r="M13" s="129"/>
      <c r="N13" s="129" t="s">
        <v>1808</v>
      </c>
      <c r="O13" s="129" t="s">
        <v>1820</v>
      </c>
      <c r="P13" s="129" t="s">
        <v>1832</v>
      </c>
      <c r="Q13" s="130" t="s">
        <v>1844</v>
      </c>
      <c r="R13" s="2"/>
      <c r="S13" s="2"/>
      <c r="T13" s="2"/>
    </row>
    <row r="14" spans="1:22" customFormat="1" x14ac:dyDescent="0.3">
      <c r="A14" s="2"/>
      <c r="B14" s="193"/>
      <c r="C14" s="194"/>
      <c r="D14" s="194"/>
      <c r="E14" s="194"/>
      <c r="F14" s="194"/>
      <c r="G14" s="194"/>
      <c r="H14" s="194"/>
      <c r="I14" s="195"/>
      <c r="J14" s="2"/>
      <c r="K14" s="126" t="s">
        <v>1785</v>
      </c>
      <c r="L14" s="129" t="s">
        <v>1797</v>
      </c>
      <c r="M14" s="129"/>
      <c r="N14" s="129" t="s">
        <v>1809</v>
      </c>
      <c r="O14" s="129" t="s">
        <v>1821</v>
      </c>
      <c r="P14" s="129" t="s">
        <v>1833</v>
      </c>
      <c r="Q14" s="130"/>
      <c r="R14" s="2"/>
      <c r="S14" s="2"/>
      <c r="T14" s="2"/>
    </row>
    <row r="15" spans="1:22" customFormat="1" x14ac:dyDescent="0.3">
      <c r="A15" s="2"/>
      <c r="B15" s="193"/>
      <c r="C15" s="194"/>
      <c r="D15" s="194"/>
      <c r="E15" s="194"/>
      <c r="F15" s="194"/>
      <c r="G15" s="194"/>
      <c r="H15" s="194"/>
      <c r="I15" s="195"/>
      <c r="J15" s="2"/>
      <c r="K15" s="126" t="s">
        <v>1786</v>
      </c>
      <c r="L15" s="129" t="s">
        <v>1798</v>
      </c>
      <c r="M15" s="129"/>
      <c r="N15" s="129" t="s">
        <v>1810</v>
      </c>
      <c r="O15" s="129" t="s">
        <v>1822</v>
      </c>
      <c r="P15" s="129" t="s">
        <v>1834</v>
      </c>
      <c r="Q15" s="130"/>
      <c r="R15" s="2"/>
      <c r="S15" s="2"/>
      <c r="T15" s="2"/>
    </row>
    <row r="16" spans="1:22" customFormat="1" x14ac:dyDescent="0.3">
      <c r="A16" s="2"/>
      <c r="B16" s="193"/>
      <c r="C16" s="194"/>
      <c r="D16" s="194"/>
      <c r="E16" s="194"/>
      <c r="F16" s="194"/>
      <c r="G16" s="194"/>
      <c r="H16" s="194"/>
      <c r="I16" s="195"/>
      <c r="J16" s="2"/>
      <c r="K16" s="126" t="s">
        <v>1787</v>
      </c>
      <c r="L16" s="129" t="s">
        <v>1799</v>
      </c>
      <c r="M16" s="129"/>
      <c r="N16" s="129" t="s">
        <v>1811</v>
      </c>
      <c r="O16" s="129" t="s">
        <v>1823</v>
      </c>
      <c r="P16" s="129" t="s">
        <v>1835</v>
      </c>
      <c r="Q16" s="130"/>
      <c r="R16" s="2"/>
      <c r="S16" s="2"/>
      <c r="T16" s="2"/>
    </row>
    <row r="17" spans="1:24" customFormat="1" x14ac:dyDescent="0.3">
      <c r="A17" s="2"/>
      <c r="B17" s="193"/>
      <c r="C17" s="194"/>
      <c r="D17" s="194"/>
      <c r="E17" s="194"/>
      <c r="F17" s="194"/>
      <c r="G17" s="194"/>
      <c r="H17" s="194"/>
      <c r="I17" s="195"/>
      <c r="J17" s="2"/>
      <c r="K17" s="126" t="s">
        <v>1788</v>
      </c>
      <c r="L17" s="129" t="s">
        <v>1800</v>
      </c>
      <c r="M17" s="129"/>
      <c r="N17" s="129" t="s">
        <v>1812</v>
      </c>
      <c r="O17" s="129" t="s">
        <v>1824</v>
      </c>
      <c r="P17" s="129" t="s">
        <v>1836</v>
      </c>
      <c r="Q17" s="130"/>
      <c r="R17" s="2"/>
      <c r="S17" s="2"/>
      <c r="T17" s="2"/>
    </row>
    <row r="18" spans="1:24" customFormat="1" x14ac:dyDescent="0.3">
      <c r="A18" s="2"/>
      <c r="B18" s="193"/>
      <c r="C18" s="194"/>
      <c r="D18" s="194"/>
      <c r="E18" s="194"/>
      <c r="F18" s="194"/>
      <c r="G18" s="194"/>
      <c r="H18" s="194"/>
      <c r="I18" s="195"/>
      <c r="J18" s="2"/>
      <c r="K18" s="126" t="s">
        <v>1789</v>
      </c>
      <c r="L18" s="129" t="s">
        <v>1801</v>
      </c>
      <c r="M18" s="129"/>
      <c r="N18" s="129" t="s">
        <v>1813</v>
      </c>
      <c r="O18" s="129" t="s">
        <v>1825</v>
      </c>
      <c r="P18" s="129" t="s">
        <v>1837</v>
      </c>
      <c r="Q18" s="130"/>
      <c r="R18" s="2"/>
      <c r="S18" s="2"/>
      <c r="T18" s="2"/>
    </row>
    <row r="19" spans="1:24" customFormat="1" x14ac:dyDescent="0.3">
      <c r="A19" s="2"/>
      <c r="B19" s="193"/>
      <c r="C19" s="194"/>
      <c r="D19" s="194"/>
      <c r="E19" s="194"/>
      <c r="F19" s="194"/>
      <c r="G19" s="194"/>
      <c r="H19" s="194"/>
      <c r="I19" s="195"/>
      <c r="J19" s="2"/>
      <c r="K19" s="126" t="s">
        <v>1790</v>
      </c>
      <c r="L19" s="129" t="s">
        <v>1802</v>
      </c>
      <c r="M19" s="129"/>
      <c r="N19" s="129" t="s">
        <v>1814</v>
      </c>
      <c r="O19" s="129" t="s">
        <v>1826</v>
      </c>
      <c r="P19" s="129" t="s">
        <v>1838</v>
      </c>
      <c r="Q19" s="130"/>
      <c r="R19" s="2"/>
      <c r="S19" s="2"/>
      <c r="T19" s="2"/>
    </row>
    <row r="20" spans="1:24" customFormat="1" x14ac:dyDescent="0.3">
      <c r="A20" s="2"/>
      <c r="B20" s="196"/>
      <c r="C20" s="197"/>
      <c r="D20" s="197"/>
      <c r="E20" s="197"/>
      <c r="F20" s="197"/>
      <c r="G20" s="197"/>
      <c r="H20" s="197"/>
      <c r="I20" s="198"/>
      <c r="J20" s="2"/>
      <c r="K20" s="127" t="s">
        <v>1791</v>
      </c>
      <c r="L20" s="128" t="s">
        <v>1803</v>
      </c>
      <c r="M20" s="128"/>
      <c r="N20" s="128" t="s">
        <v>1815</v>
      </c>
      <c r="O20" s="128" t="s">
        <v>1827</v>
      </c>
      <c r="P20" s="128" t="s">
        <v>1839</v>
      </c>
      <c r="Q20" s="131"/>
      <c r="R20" s="2"/>
      <c r="S20" s="2"/>
      <c r="T20" s="2"/>
    </row>
    <row r="21" spans="1:24" customFormat="1" x14ac:dyDescent="0.3">
      <c r="A21" s="2"/>
      <c r="B21" s="2"/>
      <c r="C21" s="2"/>
      <c r="D21" s="2"/>
      <c r="E21" s="2"/>
      <c r="F21" s="2"/>
      <c r="G21" s="2"/>
      <c r="H21" s="2"/>
      <c r="I21" s="2"/>
      <c r="J21" s="2"/>
      <c r="K21" s="2"/>
      <c r="L21" s="2"/>
      <c r="M21" s="2"/>
      <c r="N21" s="2"/>
      <c r="O21" s="2"/>
      <c r="P21" s="2"/>
      <c r="Q21" s="2"/>
      <c r="R21" s="2"/>
      <c r="S21" s="2"/>
      <c r="T21" s="2"/>
    </row>
    <row r="22" spans="1:24" customFormat="1" x14ac:dyDescent="0.3">
      <c r="A22" s="2"/>
      <c r="B22" s="2"/>
      <c r="C22" s="2"/>
      <c r="D22" s="2"/>
      <c r="E22" s="2"/>
      <c r="F22" s="2"/>
      <c r="G22" s="2"/>
      <c r="H22" s="2"/>
      <c r="I22" s="2"/>
      <c r="J22" s="2"/>
      <c r="K22" s="2"/>
      <c r="L22" s="2"/>
      <c r="M22" s="2"/>
      <c r="N22" s="2"/>
      <c r="O22" s="2"/>
      <c r="P22" s="2"/>
      <c r="Q22" s="2"/>
      <c r="R22" s="2"/>
      <c r="S22" s="2"/>
      <c r="T22" s="2"/>
    </row>
    <row r="23" spans="1:24" customFormat="1" x14ac:dyDescent="0.3">
      <c r="A23" s="2"/>
      <c r="B23" s="181" t="s">
        <v>1162</v>
      </c>
      <c r="C23" s="182"/>
      <c r="D23" s="182"/>
      <c r="E23" s="182"/>
      <c r="F23" s="182"/>
      <c r="G23" s="182"/>
      <c r="H23" s="182"/>
      <c r="I23" s="182"/>
      <c r="J23" s="182"/>
      <c r="K23" s="182"/>
      <c r="L23" s="182"/>
      <c r="M23" s="182"/>
      <c r="N23" s="182"/>
      <c r="O23" s="182"/>
      <c r="P23" s="182"/>
      <c r="Q23" s="182"/>
      <c r="R23" s="182"/>
      <c r="S23" s="183"/>
      <c r="T23" s="40"/>
    </row>
    <row r="24" spans="1:24" customFormat="1" x14ac:dyDescent="0.3">
      <c r="A24" s="2"/>
      <c r="B24" s="184"/>
      <c r="C24" s="185"/>
      <c r="D24" s="185"/>
      <c r="E24" s="185"/>
      <c r="F24" s="185"/>
      <c r="G24" s="185"/>
      <c r="H24" s="185"/>
      <c r="I24" s="185"/>
      <c r="J24" s="185"/>
      <c r="K24" s="185"/>
      <c r="L24" s="185"/>
      <c r="M24" s="185"/>
      <c r="N24" s="185"/>
      <c r="O24" s="185"/>
      <c r="P24" s="185"/>
      <c r="Q24" s="185"/>
      <c r="R24" s="185"/>
      <c r="S24" s="186"/>
      <c r="T24" s="40"/>
    </row>
    <row r="25" spans="1:24" customFormat="1" x14ac:dyDescent="0.3">
      <c r="A25" s="2"/>
      <c r="B25" s="187"/>
      <c r="C25" s="188"/>
      <c r="D25" s="188"/>
      <c r="E25" s="188"/>
      <c r="F25" s="188"/>
      <c r="G25" s="188"/>
      <c r="H25" s="188"/>
      <c r="I25" s="188"/>
      <c r="J25" s="188"/>
      <c r="K25" s="188"/>
      <c r="L25" s="188"/>
      <c r="M25" s="188"/>
      <c r="N25" s="188"/>
      <c r="O25" s="188"/>
      <c r="P25" s="188"/>
      <c r="Q25" s="188"/>
      <c r="R25" s="188"/>
      <c r="S25" s="189"/>
      <c r="T25" s="40"/>
    </row>
    <row r="26" spans="1:24" customFormat="1" x14ac:dyDescent="0.3">
      <c r="A26" s="2"/>
      <c r="B26" s="67"/>
      <c r="C26" s="67"/>
      <c r="D26" s="67"/>
      <c r="E26" s="67"/>
      <c r="F26" s="67"/>
      <c r="G26" s="67"/>
      <c r="H26" s="67"/>
      <c r="I26" s="67"/>
      <c r="J26" s="67"/>
      <c r="K26" s="67"/>
      <c r="L26" s="67"/>
      <c r="M26" s="67"/>
      <c r="N26" s="67"/>
      <c r="O26" s="67"/>
      <c r="P26" s="67"/>
      <c r="Q26" s="67"/>
      <c r="R26" s="67"/>
      <c r="S26" s="67"/>
      <c r="T26" s="67"/>
    </row>
    <row r="27" spans="1:24" customFormat="1" x14ac:dyDescent="0.3">
      <c r="A27" s="2"/>
      <c r="B27" s="40"/>
      <c r="C27" s="40"/>
      <c r="D27" s="40"/>
      <c r="E27" s="68"/>
      <c r="F27" s="68"/>
      <c r="G27" s="68"/>
      <c r="H27" s="68"/>
      <c r="I27" s="68"/>
      <c r="J27" s="40"/>
      <c r="K27" s="40"/>
      <c r="L27" s="40"/>
      <c r="M27" s="40"/>
      <c r="N27" s="40"/>
      <c r="O27" s="40"/>
      <c r="P27" s="40"/>
      <c r="Q27" s="40"/>
      <c r="R27" s="40"/>
      <c r="S27" s="40"/>
      <c r="T27" s="40"/>
    </row>
    <row r="28" spans="1:24" customFormat="1" x14ac:dyDescent="0.3">
      <c r="A28" s="2"/>
      <c r="B28" s="2"/>
      <c r="C28" s="2"/>
      <c r="D28" s="2"/>
      <c r="E28" s="288" t="s">
        <v>1156</v>
      </c>
      <c r="F28" s="288"/>
      <c r="G28" s="288" t="s">
        <v>1380</v>
      </c>
      <c r="H28" s="288"/>
      <c r="I28" s="288" t="s">
        <v>1504</v>
      </c>
      <c r="J28" s="288"/>
      <c r="K28" s="288" t="s">
        <v>1642</v>
      </c>
      <c r="L28" s="288"/>
      <c r="M28" s="2"/>
      <c r="N28" s="2"/>
      <c r="O28" s="2"/>
      <c r="P28" s="2"/>
      <c r="Q28" s="2"/>
      <c r="R28" s="2"/>
      <c r="S28" s="2"/>
      <c r="T28" s="2"/>
      <c r="U28" s="2"/>
      <c r="V28" s="2"/>
      <c r="W28" s="2"/>
    </row>
    <row r="29" spans="1:24" customFormat="1" x14ac:dyDescent="0.3">
      <c r="A29" s="2"/>
      <c r="B29" s="2"/>
      <c r="C29" s="2"/>
      <c r="D29" s="2"/>
      <c r="E29" s="288"/>
      <c r="F29" s="288"/>
      <c r="G29" s="288"/>
      <c r="H29" s="288"/>
      <c r="I29" s="288"/>
      <c r="J29" s="288"/>
      <c r="K29" s="288"/>
      <c r="L29" s="288"/>
      <c r="M29" s="2"/>
      <c r="N29" s="2"/>
      <c r="O29" s="2"/>
      <c r="P29" s="2"/>
      <c r="Q29" s="2"/>
      <c r="R29" s="2"/>
      <c r="S29" s="2"/>
      <c r="T29" s="2"/>
      <c r="U29" s="2"/>
      <c r="V29" s="2"/>
      <c r="W29" s="2"/>
    </row>
    <row r="30" spans="1:24" customFormat="1" x14ac:dyDescent="0.3">
      <c r="A30" s="2"/>
      <c r="B30" s="2"/>
      <c r="C30" s="2"/>
      <c r="D30" s="2"/>
      <c r="E30" s="119" t="s">
        <v>1157</v>
      </c>
      <c r="F30" s="119" t="s">
        <v>1409</v>
      </c>
      <c r="G30" s="119" t="s">
        <v>1157</v>
      </c>
      <c r="H30" s="119" t="s">
        <v>1409</v>
      </c>
      <c r="I30" s="119" t="s">
        <v>1157</v>
      </c>
      <c r="J30" s="119" t="s">
        <v>1409</v>
      </c>
      <c r="K30" s="119" t="s">
        <v>1157</v>
      </c>
      <c r="L30" s="119" t="s">
        <v>1409</v>
      </c>
      <c r="M30" s="2"/>
      <c r="N30" s="2"/>
      <c r="O30" s="2"/>
      <c r="P30" s="2"/>
      <c r="Q30" s="2"/>
      <c r="R30" s="2"/>
      <c r="S30" s="2"/>
      <c r="T30" s="2"/>
      <c r="U30" s="2"/>
      <c r="V30" s="2"/>
      <c r="W30" s="2"/>
    </row>
    <row r="31" spans="1:24" customFormat="1" x14ac:dyDescent="0.3">
      <c r="A31" s="2"/>
      <c r="B31" s="2"/>
      <c r="C31" s="2"/>
      <c r="D31" s="2"/>
      <c r="E31" s="118" t="s">
        <v>1158</v>
      </c>
      <c r="F31" s="118" t="s">
        <v>1161</v>
      </c>
      <c r="G31" s="119" t="s">
        <v>1371</v>
      </c>
      <c r="H31" s="119" t="s">
        <v>1381</v>
      </c>
      <c r="I31" s="119" t="s">
        <v>1371</v>
      </c>
      <c r="J31" s="119" t="s">
        <v>1505</v>
      </c>
      <c r="K31" s="119" t="s">
        <v>1158</v>
      </c>
      <c r="L31" s="119" t="s">
        <v>1643</v>
      </c>
      <c r="M31" s="2"/>
      <c r="N31" s="2"/>
      <c r="O31" s="2"/>
      <c r="P31" s="2"/>
      <c r="Q31" s="2"/>
      <c r="R31" s="2"/>
      <c r="S31" s="2"/>
      <c r="T31" s="2"/>
      <c r="U31" s="2"/>
      <c r="V31" s="2"/>
      <c r="W31" s="2"/>
    </row>
    <row r="32" spans="1:24" customFormat="1" x14ac:dyDescent="0.3">
      <c r="A32" s="2"/>
      <c r="B32" s="2"/>
      <c r="C32" s="2"/>
      <c r="D32" s="2"/>
      <c r="E32" s="118" t="s">
        <v>1159</v>
      </c>
      <c r="F32" s="118" t="s">
        <v>1334</v>
      </c>
      <c r="G32" s="119" t="s">
        <v>1234</v>
      </c>
      <c r="H32" s="119" t="s">
        <v>1383</v>
      </c>
      <c r="I32" s="119" t="s">
        <v>1275</v>
      </c>
      <c r="J32" s="119" t="s">
        <v>1288</v>
      </c>
      <c r="K32" s="119" t="s">
        <v>1293</v>
      </c>
      <c r="L32" s="119" t="s">
        <v>1644</v>
      </c>
      <c r="M32" s="152"/>
      <c r="N32" s="2"/>
      <c r="O32" s="157" t="s">
        <v>1748</v>
      </c>
      <c r="P32" s="158" t="s">
        <v>1853</v>
      </c>
      <c r="Q32" s="158" t="s">
        <v>1756</v>
      </c>
      <c r="R32" s="159" t="s">
        <v>1757</v>
      </c>
      <c r="S32" s="2"/>
      <c r="T32" s="2"/>
      <c r="U32" s="2"/>
      <c r="V32" s="2"/>
      <c r="W32" s="2"/>
      <c r="X32" s="2"/>
    </row>
    <row r="33" spans="1:24" customFormat="1" x14ac:dyDescent="0.3">
      <c r="A33" s="2"/>
      <c r="B33" s="2"/>
      <c r="C33" s="2"/>
      <c r="D33" s="2"/>
      <c r="E33" s="118" t="s">
        <v>1160</v>
      </c>
      <c r="F33" s="118" t="s">
        <v>1163</v>
      </c>
      <c r="G33" s="119" t="s">
        <v>1236</v>
      </c>
      <c r="H33" s="119" t="s">
        <v>1382</v>
      </c>
      <c r="I33" s="119" t="s">
        <v>1302</v>
      </c>
      <c r="J33" s="119" t="s">
        <v>1303</v>
      </c>
      <c r="K33" s="119" t="s">
        <v>1188</v>
      </c>
      <c r="L33" s="119" t="s">
        <v>1645</v>
      </c>
      <c r="M33" s="152"/>
      <c r="N33" s="2"/>
      <c r="O33" s="148" t="s">
        <v>1591</v>
      </c>
      <c r="P33" s="146" t="s">
        <v>1849</v>
      </c>
      <c r="Q33" s="150">
        <f>$H283/$D283</f>
        <v>1</v>
      </c>
      <c r="R33" s="150">
        <f>$I283/$D283</f>
        <v>0</v>
      </c>
      <c r="S33" s="2"/>
      <c r="T33" s="2"/>
      <c r="U33" s="2"/>
      <c r="V33" s="2"/>
      <c r="W33" s="2"/>
      <c r="X33" s="2"/>
    </row>
    <row r="34" spans="1:24" customFormat="1" x14ac:dyDescent="0.3">
      <c r="A34" s="2"/>
      <c r="B34" s="2"/>
      <c r="C34" s="2"/>
      <c r="D34" s="2"/>
      <c r="E34" s="288" t="s">
        <v>1164</v>
      </c>
      <c r="F34" s="288"/>
      <c r="G34" s="119" t="s">
        <v>1359</v>
      </c>
      <c r="H34" s="119" t="s">
        <v>1384</v>
      </c>
      <c r="I34" s="119" t="s">
        <v>1200</v>
      </c>
      <c r="J34" s="119" t="s">
        <v>1307</v>
      </c>
      <c r="K34" s="288" t="s">
        <v>1646</v>
      </c>
      <c r="L34" s="288"/>
      <c r="M34" s="153"/>
      <c r="N34" s="2"/>
      <c r="O34" s="149" t="s">
        <v>1646</v>
      </c>
      <c r="P34" s="147" t="s">
        <v>1479</v>
      </c>
      <c r="Q34" s="151">
        <f t="shared" ref="Q34:Q97" si="0">$H284/$D284</f>
        <v>1</v>
      </c>
      <c r="R34" s="151">
        <f t="shared" ref="R34:R97" si="1">$I284/$D284</f>
        <v>0</v>
      </c>
      <c r="S34" s="2"/>
      <c r="T34" s="2"/>
      <c r="U34" s="2"/>
      <c r="V34" s="2"/>
      <c r="W34" s="2"/>
      <c r="X34" s="2"/>
    </row>
    <row r="35" spans="1:24" customFormat="1" x14ac:dyDescent="0.3">
      <c r="A35" s="2"/>
      <c r="B35" s="2"/>
      <c r="C35" s="2"/>
      <c r="D35" s="2"/>
      <c r="E35" s="288"/>
      <c r="F35" s="288"/>
      <c r="G35" s="119" t="s">
        <v>1188</v>
      </c>
      <c r="H35" s="119" t="s">
        <v>1189</v>
      </c>
      <c r="I35" s="119" t="s">
        <v>1256</v>
      </c>
      <c r="J35" s="119" t="s">
        <v>1506</v>
      </c>
      <c r="K35" s="288"/>
      <c r="L35" s="288"/>
      <c r="M35" s="153"/>
      <c r="N35" s="2"/>
      <c r="O35" s="148" t="s">
        <v>1156</v>
      </c>
      <c r="P35" s="146" t="s">
        <v>1849</v>
      </c>
      <c r="Q35" s="150">
        <f t="shared" si="0"/>
        <v>1</v>
      </c>
      <c r="R35" s="150">
        <f t="shared" si="1"/>
        <v>0</v>
      </c>
      <c r="S35" s="2"/>
      <c r="T35" s="2"/>
      <c r="U35" s="2"/>
      <c r="V35" s="2"/>
      <c r="W35" s="2"/>
      <c r="X35" s="2"/>
    </row>
    <row r="36" spans="1:24" customFormat="1" x14ac:dyDescent="0.3">
      <c r="A36" s="2"/>
      <c r="B36" s="2"/>
      <c r="C36" s="2"/>
      <c r="D36" s="2"/>
      <c r="E36" s="119" t="s">
        <v>1157</v>
      </c>
      <c r="F36" s="119" t="s">
        <v>1409</v>
      </c>
      <c r="G36" s="119" t="s">
        <v>1160</v>
      </c>
      <c r="H36" s="119" t="s">
        <v>1385</v>
      </c>
      <c r="I36" s="119" t="s">
        <v>1165</v>
      </c>
      <c r="J36" s="119" t="s">
        <v>1166</v>
      </c>
      <c r="K36" s="119" t="s">
        <v>1157</v>
      </c>
      <c r="L36" s="119" t="s">
        <v>1409</v>
      </c>
      <c r="M36" s="152"/>
      <c r="N36" s="2"/>
      <c r="O36" s="149" t="s">
        <v>1301</v>
      </c>
      <c r="P36" s="147" t="s">
        <v>1849</v>
      </c>
      <c r="Q36" s="151">
        <f t="shared" si="0"/>
        <v>1</v>
      </c>
      <c r="R36" s="151">
        <f t="shared" si="1"/>
        <v>0</v>
      </c>
      <c r="S36" s="2"/>
      <c r="T36" s="2"/>
      <c r="U36" s="2"/>
      <c r="V36" s="2"/>
      <c r="W36" s="2"/>
      <c r="X36" s="2"/>
    </row>
    <row r="37" spans="1:24" customFormat="1" x14ac:dyDescent="0.3">
      <c r="A37" s="2"/>
      <c r="B37" s="2"/>
      <c r="C37" s="2"/>
      <c r="D37" s="2"/>
      <c r="E37" s="118" t="s">
        <v>1165</v>
      </c>
      <c r="F37" s="118" t="s">
        <v>1166</v>
      </c>
      <c r="G37" s="119" t="s">
        <v>1244</v>
      </c>
      <c r="H37" s="119" t="s">
        <v>1245</v>
      </c>
      <c r="I37" s="119" t="s">
        <v>1167</v>
      </c>
      <c r="J37" s="119" t="s">
        <v>1507</v>
      </c>
      <c r="K37" s="119" t="s">
        <v>1240</v>
      </c>
      <c r="L37" s="119" t="s">
        <v>1647</v>
      </c>
      <c r="M37" s="152"/>
      <c r="N37" s="2"/>
      <c r="O37" s="148" t="s">
        <v>1445</v>
      </c>
      <c r="P37" s="146" t="s">
        <v>1851</v>
      </c>
      <c r="Q37" s="150">
        <f t="shared" si="0"/>
        <v>1</v>
      </c>
      <c r="R37" s="150">
        <f t="shared" si="1"/>
        <v>0</v>
      </c>
      <c r="S37" s="2"/>
      <c r="T37" s="2"/>
      <c r="U37" s="2"/>
      <c r="V37" s="2"/>
      <c r="W37" s="2"/>
      <c r="X37" s="2"/>
    </row>
    <row r="38" spans="1:24" customFormat="1" x14ac:dyDescent="0.3">
      <c r="A38" s="2"/>
      <c r="B38" s="2"/>
      <c r="C38" s="2"/>
      <c r="D38" s="2"/>
      <c r="E38" s="118" t="s">
        <v>1167</v>
      </c>
      <c r="F38" s="118" t="s">
        <v>1168</v>
      </c>
      <c r="G38" s="119" t="s">
        <v>1213</v>
      </c>
      <c r="H38" s="119" t="s">
        <v>1386</v>
      </c>
      <c r="I38" s="119" t="s">
        <v>1224</v>
      </c>
      <c r="J38" s="119" t="s">
        <v>1508</v>
      </c>
      <c r="K38" s="119" t="s">
        <v>1326</v>
      </c>
      <c r="L38" s="119" t="s">
        <v>1648</v>
      </c>
      <c r="M38" s="152"/>
      <c r="N38" s="2"/>
      <c r="O38" s="149" t="s">
        <v>1469</v>
      </c>
      <c r="P38" s="147" t="s">
        <v>1849</v>
      </c>
      <c r="Q38" s="151">
        <f t="shared" si="0"/>
        <v>1</v>
      </c>
      <c r="R38" s="151">
        <f t="shared" si="1"/>
        <v>0</v>
      </c>
      <c r="S38" s="2"/>
      <c r="T38" s="2"/>
      <c r="U38" s="2"/>
      <c r="V38" s="2"/>
      <c r="W38" s="2"/>
      <c r="X38" s="2"/>
    </row>
    <row r="39" spans="1:24" customFormat="1" x14ac:dyDescent="0.3">
      <c r="A39" s="2"/>
      <c r="B39" s="2"/>
      <c r="C39" s="2"/>
      <c r="D39" s="2"/>
      <c r="E39" s="118" t="s">
        <v>1158</v>
      </c>
      <c r="F39" s="118" t="s">
        <v>1169</v>
      </c>
      <c r="G39" s="288" t="s">
        <v>1387</v>
      </c>
      <c r="H39" s="288"/>
      <c r="I39" s="119" t="s">
        <v>1172</v>
      </c>
      <c r="J39" s="119" t="s">
        <v>1509</v>
      </c>
      <c r="K39" s="119" t="s">
        <v>1258</v>
      </c>
      <c r="L39" s="119" t="s">
        <v>1421</v>
      </c>
      <c r="M39" s="152"/>
      <c r="N39" s="2"/>
      <c r="O39" s="148" t="s">
        <v>1472</v>
      </c>
      <c r="P39" s="146" t="s">
        <v>1851</v>
      </c>
      <c r="Q39" s="150">
        <f t="shared" si="0"/>
        <v>1</v>
      </c>
      <c r="R39" s="150">
        <f t="shared" si="1"/>
        <v>0</v>
      </c>
      <c r="S39" s="2"/>
      <c r="T39" s="2"/>
      <c r="U39" s="2"/>
      <c r="V39" s="2"/>
      <c r="W39" s="2"/>
      <c r="X39" s="2"/>
    </row>
    <row r="40" spans="1:24" customFormat="1" x14ac:dyDescent="0.3">
      <c r="A40" s="2"/>
      <c r="B40" s="2"/>
      <c r="C40" s="2"/>
      <c r="D40" s="2"/>
      <c r="E40" s="118" t="s">
        <v>1170</v>
      </c>
      <c r="F40" s="118" t="s">
        <v>1171</v>
      </c>
      <c r="G40" s="288"/>
      <c r="H40" s="288"/>
      <c r="I40" s="119" t="s">
        <v>1174</v>
      </c>
      <c r="J40" s="119" t="s">
        <v>1510</v>
      </c>
      <c r="K40" s="119" t="s">
        <v>1248</v>
      </c>
      <c r="L40" s="119" t="s">
        <v>1649</v>
      </c>
      <c r="M40" s="152"/>
      <c r="N40" s="2"/>
      <c r="O40" s="149" t="s">
        <v>1482</v>
      </c>
      <c r="P40" s="147" t="s">
        <v>1851</v>
      </c>
      <c r="Q40" s="151">
        <f t="shared" si="0"/>
        <v>1</v>
      </c>
      <c r="R40" s="151">
        <f t="shared" si="1"/>
        <v>0</v>
      </c>
      <c r="S40" s="2"/>
      <c r="T40" s="2"/>
      <c r="U40" s="2"/>
      <c r="V40" s="2"/>
      <c r="W40" s="2"/>
      <c r="X40" s="2"/>
    </row>
    <row r="41" spans="1:24" customFormat="1" x14ac:dyDescent="0.3">
      <c r="A41" s="2"/>
      <c r="B41" s="2"/>
      <c r="C41" s="2"/>
      <c r="D41" s="2"/>
      <c r="E41" s="118" t="s">
        <v>1172</v>
      </c>
      <c r="F41" s="118" t="s">
        <v>1173</v>
      </c>
      <c r="G41" s="119" t="s">
        <v>1157</v>
      </c>
      <c r="H41" s="119" t="s">
        <v>1409</v>
      </c>
      <c r="I41" s="119" t="s">
        <v>1178</v>
      </c>
      <c r="J41" s="119" t="s">
        <v>1511</v>
      </c>
      <c r="K41" s="288" t="s">
        <v>1650</v>
      </c>
      <c r="L41" s="288"/>
      <c r="M41" s="153"/>
      <c r="N41" s="2"/>
      <c r="O41" s="148" t="s">
        <v>1554</v>
      </c>
      <c r="P41" s="146" t="s">
        <v>1849</v>
      </c>
      <c r="Q41" s="150">
        <f t="shared" si="0"/>
        <v>1</v>
      </c>
      <c r="R41" s="150">
        <f t="shared" si="1"/>
        <v>0</v>
      </c>
      <c r="S41" s="2"/>
      <c r="T41" s="2"/>
      <c r="U41" s="2"/>
      <c r="V41" s="2"/>
      <c r="W41" s="2"/>
      <c r="X41" s="2"/>
    </row>
    <row r="42" spans="1:24" customFormat="1" x14ac:dyDescent="0.3">
      <c r="A42" s="2"/>
      <c r="B42" s="2"/>
      <c r="C42" s="2"/>
      <c r="D42" s="2"/>
      <c r="E42" s="118" t="s">
        <v>1174</v>
      </c>
      <c r="F42" s="118" t="s">
        <v>1175</v>
      </c>
      <c r="G42" s="119" t="s">
        <v>1232</v>
      </c>
      <c r="H42" s="119" t="s">
        <v>1233</v>
      </c>
      <c r="I42" s="119" t="s">
        <v>1190</v>
      </c>
      <c r="J42" s="119" t="s">
        <v>1512</v>
      </c>
      <c r="K42" s="288"/>
      <c r="L42" s="288"/>
      <c r="M42" s="153"/>
      <c r="N42" s="2"/>
      <c r="O42" s="149" t="s">
        <v>1581</v>
      </c>
      <c r="P42" s="147" t="s">
        <v>1851</v>
      </c>
      <c r="Q42" s="151">
        <f t="shared" si="0"/>
        <v>1</v>
      </c>
      <c r="R42" s="151">
        <f t="shared" si="1"/>
        <v>0</v>
      </c>
      <c r="S42" s="2"/>
      <c r="T42" s="2"/>
      <c r="U42" s="2"/>
      <c r="V42" s="2"/>
      <c r="W42" s="2"/>
      <c r="X42" s="2"/>
    </row>
    <row r="43" spans="1:24" customFormat="1" x14ac:dyDescent="0.3">
      <c r="A43" s="2"/>
      <c r="B43" s="2"/>
      <c r="C43" s="2"/>
      <c r="D43" s="2"/>
      <c r="E43" s="118" t="s">
        <v>1176</v>
      </c>
      <c r="F43" s="118" t="s">
        <v>1177</v>
      </c>
      <c r="G43" s="119" t="s">
        <v>1289</v>
      </c>
      <c r="H43" s="119" t="s">
        <v>1235</v>
      </c>
      <c r="I43" s="119" t="s">
        <v>1248</v>
      </c>
      <c r="J43" s="119" t="s">
        <v>1513</v>
      </c>
      <c r="K43" s="119" t="s">
        <v>1157</v>
      </c>
      <c r="L43" s="119" t="s">
        <v>1409</v>
      </c>
      <c r="M43" s="152"/>
      <c r="N43" s="2"/>
      <c r="O43" s="148" t="s">
        <v>1618</v>
      </c>
      <c r="P43" s="146" t="s">
        <v>1849</v>
      </c>
      <c r="Q43" s="150">
        <f t="shared" si="0"/>
        <v>1</v>
      </c>
      <c r="R43" s="150">
        <f t="shared" si="1"/>
        <v>0</v>
      </c>
      <c r="S43" s="2"/>
      <c r="T43" s="2"/>
      <c r="U43" s="2"/>
      <c r="V43" s="2"/>
      <c r="W43" s="2"/>
      <c r="X43" s="2"/>
    </row>
    <row r="44" spans="1:24" customFormat="1" x14ac:dyDescent="0.3">
      <c r="A44" s="2"/>
      <c r="B44" s="2"/>
      <c r="C44" s="2"/>
      <c r="D44" s="2"/>
      <c r="E44" s="118" t="s">
        <v>1178</v>
      </c>
      <c r="F44" s="118" t="s">
        <v>1179</v>
      </c>
      <c r="G44" s="119" t="s">
        <v>1194</v>
      </c>
      <c r="H44" s="119" t="s">
        <v>1183</v>
      </c>
      <c r="I44" s="288" t="s">
        <v>1514</v>
      </c>
      <c r="J44" s="288"/>
      <c r="K44" s="119" t="s">
        <v>1287</v>
      </c>
      <c r="L44" s="119" t="s">
        <v>1651</v>
      </c>
      <c r="M44" s="152"/>
      <c r="N44" s="2"/>
      <c r="O44" s="149" t="s">
        <v>1717</v>
      </c>
      <c r="P44" s="147" t="s">
        <v>1849</v>
      </c>
      <c r="Q44" s="151">
        <f t="shared" si="0"/>
        <v>1</v>
      </c>
      <c r="R44" s="151">
        <f t="shared" si="1"/>
        <v>0</v>
      </c>
      <c r="S44" s="2"/>
      <c r="T44" s="2"/>
      <c r="U44" s="2"/>
      <c r="V44" s="2"/>
      <c r="W44" s="2"/>
      <c r="X44" s="2"/>
    </row>
    <row r="45" spans="1:24" customFormat="1" x14ac:dyDescent="0.3">
      <c r="A45" s="2"/>
      <c r="B45" s="2"/>
      <c r="C45" s="2"/>
      <c r="D45" s="2"/>
      <c r="E45" s="118" t="s">
        <v>1180</v>
      </c>
      <c r="F45" s="118" t="s">
        <v>1181</v>
      </c>
      <c r="G45" s="119" t="s">
        <v>1184</v>
      </c>
      <c r="H45" s="119" t="s">
        <v>1388</v>
      </c>
      <c r="I45" s="288"/>
      <c r="J45" s="288"/>
      <c r="K45" s="119" t="s">
        <v>1193</v>
      </c>
      <c r="L45" s="119" t="s">
        <v>1315</v>
      </c>
      <c r="M45" s="152"/>
      <c r="N45" s="2"/>
      <c r="O45" s="148" t="s">
        <v>1324</v>
      </c>
      <c r="P45" s="146" t="s">
        <v>1851</v>
      </c>
      <c r="Q45" s="150">
        <f t="shared" si="0"/>
        <v>1</v>
      </c>
      <c r="R45" s="150">
        <f t="shared" si="1"/>
        <v>0</v>
      </c>
      <c r="S45" s="2"/>
      <c r="T45" s="2"/>
      <c r="U45" s="2"/>
      <c r="V45" s="2"/>
      <c r="W45" s="2"/>
      <c r="X45" s="2"/>
    </row>
    <row r="46" spans="1:24" customFormat="1" x14ac:dyDescent="0.3">
      <c r="A46" s="2"/>
      <c r="B46" s="2"/>
      <c r="C46" s="2"/>
      <c r="D46" s="2"/>
      <c r="E46" s="118" t="s">
        <v>1182</v>
      </c>
      <c r="F46" s="118" t="s">
        <v>1183</v>
      </c>
      <c r="G46" s="119" t="s">
        <v>1188</v>
      </c>
      <c r="H46" s="119" t="s">
        <v>1189</v>
      </c>
      <c r="I46" s="119" t="s">
        <v>1157</v>
      </c>
      <c r="J46" s="119" t="s">
        <v>1409</v>
      </c>
      <c r="K46" s="119" t="s">
        <v>1224</v>
      </c>
      <c r="L46" s="119" t="s">
        <v>1421</v>
      </c>
      <c r="M46" s="152"/>
      <c r="N46" s="2"/>
      <c r="O46" s="149" t="s">
        <v>1328</v>
      </c>
      <c r="P46" s="147" t="s">
        <v>1850</v>
      </c>
      <c r="Q46" s="151">
        <f t="shared" si="0"/>
        <v>1</v>
      </c>
      <c r="R46" s="151">
        <f t="shared" si="1"/>
        <v>0</v>
      </c>
      <c r="S46" s="2"/>
      <c r="T46" s="2"/>
      <c r="U46" s="2"/>
      <c r="V46" s="2"/>
      <c r="W46" s="2"/>
      <c r="X46" s="2"/>
    </row>
    <row r="47" spans="1:24" customFormat="1" x14ac:dyDescent="0.3">
      <c r="A47" s="2"/>
      <c r="B47" s="2"/>
      <c r="C47" s="2"/>
      <c r="D47" s="2"/>
      <c r="E47" s="118" t="s">
        <v>1184</v>
      </c>
      <c r="F47" s="118" t="s">
        <v>1185</v>
      </c>
      <c r="G47" s="119" t="s">
        <v>1246</v>
      </c>
      <c r="H47" s="119" t="s">
        <v>1389</v>
      </c>
      <c r="I47" s="119" t="s">
        <v>1326</v>
      </c>
      <c r="J47" s="119" t="s">
        <v>1279</v>
      </c>
      <c r="K47" s="119" t="s">
        <v>1299</v>
      </c>
      <c r="L47" s="119" t="s">
        <v>1652</v>
      </c>
      <c r="M47" s="152"/>
      <c r="N47" s="2"/>
      <c r="O47" s="148" t="s">
        <v>1332</v>
      </c>
      <c r="P47" s="146" t="s">
        <v>1849</v>
      </c>
      <c r="Q47" s="150">
        <f t="shared" si="0"/>
        <v>1</v>
      </c>
      <c r="R47" s="150">
        <f t="shared" si="1"/>
        <v>0</v>
      </c>
      <c r="S47" s="2"/>
      <c r="T47" s="2"/>
      <c r="U47" s="2"/>
      <c r="V47" s="2"/>
      <c r="W47" s="2"/>
      <c r="X47" s="2"/>
    </row>
    <row r="48" spans="1:24" customFormat="1" x14ac:dyDescent="0.3">
      <c r="A48" s="2"/>
      <c r="B48" s="2"/>
      <c r="C48" s="2"/>
      <c r="D48" s="2"/>
      <c r="E48" s="118" t="s">
        <v>1186</v>
      </c>
      <c r="F48" s="118" t="s">
        <v>1187</v>
      </c>
      <c r="G48" s="119" t="s">
        <v>1213</v>
      </c>
      <c r="H48" s="119" t="s">
        <v>1214</v>
      </c>
      <c r="I48" s="119" t="s">
        <v>1224</v>
      </c>
      <c r="J48" s="119" t="s">
        <v>1515</v>
      </c>
      <c r="K48" s="119" t="s">
        <v>1178</v>
      </c>
      <c r="L48" s="119" t="s">
        <v>1264</v>
      </c>
      <c r="M48" s="152"/>
      <c r="N48" s="2"/>
      <c r="O48" s="149" t="s">
        <v>1367</v>
      </c>
      <c r="P48" s="147" t="s">
        <v>1850</v>
      </c>
      <c r="Q48" s="151">
        <f t="shared" si="0"/>
        <v>1</v>
      </c>
      <c r="R48" s="151">
        <f t="shared" si="1"/>
        <v>0</v>
      </c>
      <c r="S48" s="2"/>
      <c r="T48" s="2"/>
      <c r="U48" s="2"/>
      <c r="V48" s="2"/>
      <c r="W48" s="2"/>
      <c r="X48" s="2"/>
    </row>
    <row r="49" spans="1:24" customFormat="1" x14ac:dyDescent="0.3">
      <c r="A49" s="2"/>
      <c r="B49" s="2"/>
      <c r="C49" s="2"/>
      <c r="D49" s="2"/>
      <c r="E49" s="118" t="s">
        <v>1188</v>
      </c>
      <c r="F49" s="118" t="s">
        <v>1189</v>
      </c>
      <c r="G49" s="288" t="s">
        <v>1390</v>
      </c>
      <c r="H49" s="288"/>
      <c r="I49" s="119" t="s">
        <v>1207</v>
      </c>
      <c r="J49" s="119" t="s">
        <v>1516</v>
      </c>
      <c r="K49" s="119" t="s">
        <v>1184</v>
      </c>
      <c r="L49" s="119" t="s">
        <v>1653</v>
      </c>
      <c r="M49" s="152"/>
      <c r="N49" s="2"/>
      <c r="O49" s="148" t="s">
        <v>1370</v>
      </c>
      <c r="P49" s="146" t="s">
        <v>1849</v>
      </c>
      <c r="Q49" s="150">
        <f t="shared" si="0"/>
        <v>1</v>
      </c>
      <c r="R49" s="150">
        <f t="shared" si="1"/>
        <v>0</v>
      </c>
      <c r="S49" s="2"/>
      <c r="T49" s="2"/>
      <c r="U49" s="2"/>
      <c r="V49" s="2"/>
      <c r="W49" s="2"/>
      <c r="X49" s="2"/>
    </row>
    <row r="50" spans="1:24" customFormat="1" x14ac:dyDescent="0.3">
      <c r="A50" s="2"/>
      <c r="B50" s="2"/>
      <c r="C50" s="2"/>
      <c r="D50" s="2"/>
      <c r="E50" s="118" t="s">
        <v>1159</v>
      </c>
      <c r="F50" s="118" t="s">
        <v>1334</v>
      </c>
      <c r="G50" s="288"/>
      <c r="H50" s="288"/>
      <c r="I50" s="119" t="s">
        <v>1411</v>
      </c>
      <c r="J50" s="119" t="s">
        <v>1517</v>
      </c>
      <c r="K50" s="119" t="s">
        <v>1330</v>
      </c>
      <c r="L50" s="119" t="s">
        <v>1654</v>
      </c>
      <c r="M50" s="152"/>
      <c r="N50" s="2"/>
      <c r="O50" s="149" t="s">
        <v>1443</v>
      </c>
      <c r="P50" s="147" t="s">
        <v>1849</v>
      </c>
      <c r="Q50" s="151">
        <f t="shared" si="0"/>
        <v>1</v>
      </c>
      <c r="R50" s="151">
        <f t="shared" si="1"/>
        <v>0</v>
      </c>
      <c r="S50" s="2"/>
      <c r="T50" s="2"/>
      <c r="U50" s="2"/>
      <c r="V50" s="2"/>
      <c r="W50" s="2"/>
      <c r="X50" s="2"/>
    </row>
    <row r="51" spans="1:24" customFormat="1" x14ac:dyDescent="0.3">
      <c r="A51" s="2"/>
      <c r="B51" s="2"/>
      <c r="C51" s="2"/>
      <c r="D51" s="2"/>
      <c r="E51" s="118" t="s">
        <v>1190</v>
      </c>
      <c r="F51" s="118" t="s">
        <v>1191</v>
      </c>
      <c r="G51" s="119" t="s">
        <v>1157</v>
      </c>
      <c r="H51" s="119" t="s">
        <v>1409</v>
      </c>
      <c r="I51" s="119" t="s">
        <v>1293</v>
      </c>
      <c r="J51" s="119" t="s">
        <v>1518</v>
      </c>
      <c r="K51" s="288" t="s">
        <v>1655</v>
      </c>
      <c r="L51" s="288"/>
      <c r="M51" s="153"/>
      <c r="N51" s="2"/>
      <c r="O51" s="148" t="s">
        <v>1457</v>
      </c>
      <c r="P51" s="146" t="s">
        <v>1852</v>
      </c>
      <c r="Q51" s="150">
        <f t="shared" si="0"/>
        <v>1</v>
      </c>
      <c r="R51" s="150">
        <f t="shared" si="1"/>
        <v>0</v>
      </c>
      <c r="S51" s="2"/>
      <c r="T51" s="2"/>
      <c r="U51" s="2"/>
      <c r="V51" s="2"/>
      <c r="W51" s="2"/>
      <c r="X51" s="2"/>
    </row>
    <row r="52" spans="1:24" customFormat="1" x14ac:dyDescent="0.3">
      <c r="A52" s="2"/>
      <c r="B52" s="2"/>
      <c r="C52" s="2"/>
      <c r="D52" s="2"/>
      <c r="E52" s="288" t="s">
        <v>1192</v>
      </c>
      <c r="F52" s="288"/>
      <c r="G52" s="119" t="s">
        <v>1302</v>
      </c>
      <c r="H52" s="119" t="s">
        <v>1391</v>
      </c>
      <c r="I52" s="119" t="s">
        <v>1172</v>
      </c>
      <c r="J52" s="119" t="s">
        <v>1519</v>
      </c>
      <c r="K52" s="288"/>
      <c r="L52" s="288"/>
      <c r="M52" s="153"/>
      <c r="N52" s="2"/>
      <c r="O52" s="149" t="s">
        <v>1460</v>
      </c>
      <c r="P52" s="147" t="s">
        <v>1851</v>
      </c>
      <c r="Q52" s="151">
        <f t="shared" si="0"/>
        <v>1</v>
      </c>
      <c r="R52" s="151">
        <f t="shared" si="1"/>
        <v>0</v>
      </c>
      <c r="S52" s="2"/>
      <c r="T52" s="2"/>
      <c r="U52" s="2"/>
      <c r="V52" s="2"/>
      <c r="W52" s="2"/>
      <c r="X52" s="2"/>
    </row>
    <row r="53" spans="1:24" customFormat="1" x14ac:dyDescent="0.3">
      <c r="A53" s="2"/>
      <c r="B53" s="2"/>
      <c r="C53" s="2"/>
      <c r="D53" s="2"/>
      <c r="E53" s="288"/>
      <c r="F53" s="288"/>
      <c r="G53" s="119" t="s">
        <v>1201</v>
      </c>
      <c r="H53" s="119" t="s">
        <v>1392</v>
      </c>
      <c r="I53" s="119" t="s">
        <v>1174</v>
      </c>
      <c r="J53" s="119" t="s">
        <v>1175</v>
      </c>
      <c r="K53" s="119" t="s">
        <v>1157</v>
      </c>
      <c r="L53" s="119" t="s">
        <v>1409</v>
      </c>
      <c r="M53" s="152"/>
      <c r="N53" s="2"/>
      <c r="O53" s="148" t="s">
        <v>1485</v>
      </c>
      <c r="P53" s="146" t="s">
        <v>1849</v>
      </c>
      <c r="Q53" s="150">
        <f t="shared" si="0"/>
        <v>1</v>
      </c>
      <c r="R53" s="150">
        <f t="shared" si="1"/>
        <v>0</v>
      </c>
      <c r="S53" s="2"/>
      <c r="T53" s="2"/>
      <c r="U53" s="2"/>
      <c r="V53" s="2"/>
      <c r="W53" s="2"/>
      <c r="X53" s="2"/>
    </row>
    <row r="54" spans="1:24" customFormat="1" x14ac:dyDescent="0.3">
      <c r="A54" s="2"/>
      <c r="B54" s="2"/>
      <c r="C54" s="2"/>
      <c r="D54" s="2"/>
      <c r="E54" s="119" t="s">
        <v>1157</v>
      </c>
      <c r="F54" s="119" t="s">
        <v>1409</v>
      </c>
      <c r="G54" s="119" t="s">
        <v>1172</v>
      </c>
      <c r="H54" s="119" t="s">
        <v>1393</v>
      </c>
      <c r="I54" s="119" t="s">
        <v>1338</v>
      </c>
      <c r="J54" s="119" t="s">
        <v>1520</v>
      </c>
      <c r="K54" s="119" t="s">
        <v>1234</v>
      </c>
      <c r="L54" s="119" t="s">
        <v>1656</v>
      </c>
      <c r="M54" s="152"/>
      <c r="N54" s="2"/>
      <c r="O54" s="149" t="s">
        <v>1493</v>
      </c>
      <c r="P54" s="147" t="s">
        <v>1849</v>
      </c>
      <c r="Q54" s="151">
        <f t="shared" si="0"/>
        <v>1</v>
      </c>
      <c r="R54" s="151">
        <f t="shared" si="1"/>
        <v>0</v>
      </c>
      <c r="S54" s="2"/>
      <c r="T54" s="2"/>
      <c r="U54" s="2"/>
      <c r="V54" s="2"/>
      <c r="W54" s="2"/>
      <c r="X54" s="2"/>
    </row>
    <row r="55" spans="1:24" customFormat="1" x14ac:dyDescent="0.3">
      <c r="A55" s="2"/>
      <c r="B55" s="2"/>
      <c r="C55" s="2"/>
      <c r="D55" s="2"/>
      <c r="E55" s="118" t="s">
        <v>1194</v>
      </c>
      <c r="F55" s="118" t="s">
        <v>1195</v>
      </c>
      <c r="G55" s="288" t="s">
        <v>1394</v>
      </c>
      <c r="H55" s="288"/>
      <c r="I55" s="119" t="s">
        <v>1228</v>
      </c>
      <c r="J55" s="119" t="s">
        <v>1521</v>
      </c>
      <c r="K55" s="119" t="s">
        <v>1326</v>
      </c>
      <c r="L55" s="119" t="s">
        <v>1648</v>
      </c>
      <c r="M55" s="152"/>
      <c r="N55" s="2"/>
      <c r="O55" s="148" t="s">
        <v>1537</v>
      </c>
      <c r="P55" s="146" t="s">
        <v>1849</v>
      </c>
      <c r="Q55" s="150">
        <f t="shared" si="0"/>
        <v>1</v>
      </c>
      <c r="R55" s="150">
        <f t="shared" si="1"/>
        <v>0</v>
      </c>
      <c r="S55" s="2"/>
      <c r="T55" s="2"/>
      <c r="U55" s="2"/>
      <c r="V55" s="2"/>
      <c r="W55" s="2"/>
      <c r="X55" s="2"/>
    </row>
    <row r="56" spans="1:24" customFormat="1" x14ac:dyDescent="0.3">
      <c r="A56" s="2"/>
      <c r="B56" s="2"/>
      <c r="C56" s="2"/>
      <c r="D56" s="2"/>
      <c r="E56" s="118" t="s">
        <v>1159</v>
      </c>
      <c r="F56" s="118" t="s">
        <v>1196</v>
      </c>
      <c r="G56" s="288"/>
      <c r="H56" s="288"/>
      <c r="I56" s="119" t="s">
        <v>1209</v>
      </c>
      <c r="J56" s="119" t="s">
        <v>1528</v>
      </c>
      <c r="K56" s="288" t="s">
        <v>1657</v>
      </c>
      <c r="L56" s="288"/>
      <c r="M56" s="153"/>
      <c r="N56" s="2"/>
      <c r="O56" s="149" t="s">
        <v>1632</v>
      </c>
      <c r="P56" s="147" t="s">
        <v>1849</v>
      </c>
      <c r="Q56" s="151">
        <f t="shared" si="0"/>
        <v>1</v>
      </c>
      <c r="R56" s="151">
        <f t="shared" si="1"/>
        <v>0</v>
      </c>
      <c r="S56" s="2"/>
      <c r="T56" s="2"/>
      <c r="U56" s="2"/>
      <c r="V56" s="2"/>
      <c r="W56" s="2"/>
      <c r="X56" s="2"/>
    </row>
    <row r="57" spans="1:24" customFormat="1" x14ac:dyDescent="0.3">
      <c r="A57" s="2"/>
      <c r="B57" s="2"/>
      <c r="C57" s="2"/>
      <c r="D57" s="2"/>
      <c r="E57" s="288" t="s">
        <v>1197</v>
      </c>
      <c r="F57" s="288"/>
      <c r="G57" s="119" t="s">
        <v>1157</v>
      </c>
      <c r="H57" s="119" t="s">
        <v>1409</v>
      </c>
      <c r="I57" s="119" t="s">
        <v>1186</v>
      </c>
      <c r="J57" s="119" t="s">
        <v>1529</v>
      </c>
      <c r="K57" s="288"/>
      <c r="L57" s="288"/>
      <c r="M57" s="153"/>
      <c r="N57" s="2"/>
      <c r="O57" s="148" t="s">
        <v>1655</v>
      </c>
      <c r="P57" s="146" t="s">
        <v>1849</v>
      </c>
      <c r="Q57" s="150">
        <f t="shared" si="0"/>
        <v>1</v>
      </c>
      <c r="R57" s="150">
        <f t="shared" si="1"/>
        <v>0</v>
      </c>
      <c r="S57" s="2"/>
      <c r="T57" s="2"/>
      <c r="U57" s="2"/>
      <c r="V57" s="2"/>
      <c r="W57" s="2"/>
      <c r="X57" s="2"/>
    </row>
    <row r="58" spans="1:24" customFormat="1" x14ac:dyDescent="0.3">
      <c r="A58" s="2"/>
      <c r="B58" s="2"/>
      <c r="C58" s="2"/>
      <c r="D58" s="2"/>
      <c r="E58" s="288"/>
      <c r="F58" s="288"/>
      <c r="G58" s="119" t="s">
        <v>1395</v>
      </c>
      <c r="H58" s="119" t="s">
        <v>1396</v>
      </c>
      <c r="I58" s="119" t="s">
        <v>1160</v>
      </c>
      <c r="J58" s="119" t="s">
        <v>1530</v>
      </c>
      <c r="K58" s="119" t="s">
        <v>1157</v>
      </c>
      <c r="L58" s="119" t="s">
        <v>1409</v>
      </c>
      <c r="M58" s="152"/>
      <c r="N58" s="2"/>
      <c r="O58" s="149" t="s">
        <v>1710</v>
      </c>
      <c r="P58" s="147" t="s">
        <v>1849</v>
      </c>
      <c r="Q58" s="151">
        <f t="shared" si="0"/>
        <v>1</v>
      </c>
      <c r="R58" s="151">
        <f t="shared" si="1"/>
        <v>0</v>
      </c>
      <c r="S58" s="2"/>
      <c r="T58" s="2"/>
      <c r="U58" s="2"/>
      <c r="V58" s="2"/>
      <c r="W58" s="2"/>
      <c r="X58" s="2"/>
    </row>
    <row r="59" spans="1:24" customFormat="1" x14ac:dyDescent="0.3">
      <c r="A59" s="2"/>
      <c r="B59" s="2"/>
      <c r="C59" s="2"/>
      <c r="D59" s="2"/>
      <c r="E59" s="119" t="s">
        <v>1157</v>
      </c>
      <c r="F59" s="119" t="s">
        <v>1409</v>
      </c>
      <c r="G59" s="119" t="s">
        <v>1302</v>
      </c>
      <c r="H59" s="119" t="s">
        <v>1303</v>
      </c>
      <c r="I59" s="119" t="s">
        <v>1322</v>
      </c>
      <c r="J59" s="119" t="s">
        <v>1531</v>
      </c>
      <c r="K59" s="119" t="s">
        <v>1205</v>
      </c>
      <c r="L59" s="119" t="s">
        <v>1658</v>
      </c>
      <c r="M59" s="152"/>
      <c r="N59" s="2"/>
      <c r="O59" s="148" t="s">
        <v>1723</v>
      </c>
      <c r="P59" s="146" t="s">
        <v>1849</v>
      </c>
      <c r="Q59" s="150">
        <f t="shared" si="0"/>
        <v>1</v>
      </c>
      <c r="R59" s="150">
        <f t="shared" si="1"/>
        <v>0</v>
      </c>
      <c r="S59" s="2"/>
      <c r="T59" s="2"/>
      <c r="U59" s="2"/>
      <c r="V59" s="2"/>
      <c r="W59" s="2"/>
      <c r="X59" s="2"/>
    </row>
    <row r="60" spans="1:24" customFormat="1" x14ac:dyDescent="0.3">
      <c r="A60" s="2"/>
      <c r="B60" s="2"/>
      <c r="C60" s="2"/>
      <c r="D60" s="2"/>
      <c r="E60" s="119" t="s">
        <v>1198</v>
      </c>
      <c r="F60" s="119" t="s">
        <v>1199</v>
      </c>
      <c r="G60" s="119" t="s">
        <v>1200</v>
      </c>
      <c r="H60" s="119" t="s">
        <v>1166</v>
      </c>
      <c r="I60" s="119" t="s">
        <v>1216</v>
      </c>
      <c r="J60" s="119" t="s">
        <v>1532</v>
      </c>
      <c r="K60" s="119" t="s">
        <v>1165</v>
      </c>
      <c r="L60" s="119" t="s">
        <v>1659</v>
      </c>
      <c r="M60" s="152"/>
      <c r="N60" s="2"/>
      <c r="O60" s="149" t="s">
        <v>1522</v>
      </c>
      <c r="P60" s="147" t="s">
        <v>1849</v>
      </c>
      <c r="Q60" s="151">
        <f t="shared" si="0"/>
        <v>0.9</v>
      </c>
      <c r="R60" s="151">
        <f t="shared" si="1"/>
        <v>0.1</v>
      </c>
      <c r="S60" s="2"/>
      <c r="T60" s="2"/>
      <c r="U60" s="2"/>
      <c r="V60" s="2"/>
      <c r="W60" s="2"/>
      <c r="X60" s="2"/>
    </row>
    <row r="61" spans="1:24" customFormat="1" x14ac:dyDescent="0.3">
      <c r="A61" s="2"/>
      <c r="B61" s="2"/>
      <c r="C61" s="2"/>
      <c r="D61" s="2"/>
      <c r="E61" s="119" t="s">
        <v>1200</v>
      </c>
      <c r="F61" s="119" t="s">
        <v>1166</v>
      </c>
      <c r="G61" s="119" t="s">
        <v>1201</v>
      </c>
      <c r="H61" s="119" t="s">
        <v>1399</v>
      </c>
      <c r="I61" s="288" t="s">
        <v>1522</v>
      </c>
      <c r="J61" s="288"/>
      <c r="K61" s="119" t="s">
        <v>1207</v>
      </c>
      <c r="L61" s="119" t="s">
        <v>1260</v>
      </c>
      <c r="M61" s="152"/>
      <c r="N61" s="2"/>
      <c r="O61" s="148" t="s">
        <v>1662</v>
      </c>
      <c r="P61" s="146" t="s">
        <v>1851</v>
      </c>
      <c r="Q61" s="150">
        <f t="shared" si="0"/>
        <v>0.82352941176470584</v>
      </c>
      <c r="R61" s="150">
        <f t="shared" si="1"/>
        <v>0.17647058823529413</v>
      </c>
      <c r="S61" s="2"/>
      <c r="T61" s="2"/>
      <c r="U61" s="2"/>
      <c r="V61" s="2"/>
      <c r="W61" s="2"/>
      <c r="X61" s="2"/>
    </row>
    <row r="62" spans="1:24" customFormat="1" x14ac:dyDescent="0.3">
      <c r="A62" s="2"/>
      <c r="B62" s="2"/>
      <c r="C62" s="2"/>
      <c r="D62" s="2"/>
      <c r="E62" s="119" t="s">
        <v>1201</v>
      </c>
      <c r="F62" s="119" t="s">
        <v>1202</v>
      </c>
      <c r="G62" s="119" t="s">
        <v>1280</v>
      </c>
      <c r="H62" s="119" t="s">
        <v>1225</v>
      </c>
      <c r="I62" s="288"/>
      <c r="J62" s="288"/>
      <c r="K62" s="119" t="s">
        <v>1338</v>
      </c>
      <c r="L62" s="119" t="s">
        <v>1660</v>
      </c>
      <c r="M62" s="152"/>
      <c r="N62" s="2"/>
      <c r="O62" s="149" t="s">
        <v>1164</v>
      </c>
      <c r="P62" s="147" t="s">
        <v>1849</v>
      </c>
      <c r="Q62" s="151">
        <f t="shared" si="0"/>
        <v>0.8</v>
      </c>
      <c r="R62" s="151">
        <f t="shared" si="1"/>
        <v>0.2</v>
      </c>
      <c r="S62" s="2"/>
      <c r="T62" s="2"/>
      <c r="U62" s="2"/>
      <c r="V62" s="2"/>
      <c r="W62" s="2"/>
      <c r="X62" s="2"/>
    </row>
    <row r="63" spans="1:24" customFormat="1" x14ac:dyDescent="0.3">
      <c r="A63" s="2"/>
      <c r="B63" s="2"/>
      <c r="C63" s="2"/>
      <c r="D63" s="2"/>
      <c r="E63" s="119" t="s">
        <v>1203</v>
      </c>
      <c r="F63" s="119" t="s">
        <v>1204</v>
      </c>
      <c r="G63" s="119" t="s">
        <v>1170</v>
      </c>
      <c r="H63" s="119" t="s">
        <v>1397</v>
      </c>
      <c r="I63" s="119" t="s">
        <v>1157</v>
      </c>
      <c r="J63" s="119" t="s">
        <v>1409</v>
      </c>
      <c r="K63" s="119" t="s">
        <v>1322</v>
      </c>
      <c r="L63" s="119" t="s">
        <v>1661</v>
      </c>
      <c r="M63" s="152"/>
      <c r="N63" s="2"/>
      <c r="O63" s="148" t="s">
        <v>1463</v>
      </c>
      <c r="P63" s="146" t="s">
        <v>1850</v>
      </c>
      <c r="Q63" s="150">
        <f t="shared" si="0"/>
        <v>0.8</v>
      </c>
      <c r="R63" s="150">
        <f t="shared" si="1"/>
        <v>0.2</v>
      </c>
      <c r="S63" s="2"/>
      <c r="T63" s="2"/>
      <c r="U63" s="2"/>
      <c r="V63" s="2"/>
      <c r="W63" s="2"/>
      <c r="X63" s="2"/>
    </row>
    <row r="64" spans="1:24" customFormat="1" x14ac:dyDescent="0.3">
      <c r="A64" s="2"/>
      <c r="B64" s="2"/>
      <c r="C64" s="2"/>
      <c r="D64" s="2"/>
      <c r="E64" s="119" t="s">
        <v>1205</v>
      </c>
      <c r="F64" s="119" t="s">
        <v>1206</v>
      </c>
      <c r="G64" s="119" t="s">
        <v>1174</v>
      </c>
      <c r="H64" s="119" t="s">
        <v>1398</v>
      </c>
      <c r="I64" s="119" t="s">
        <v>1205</v>
      </c>
      <c r="J64" s="119" t="s">
        <v>1523</v>
      </c>
      <c r="K64" s="288" t="s">
        <v>1662</v>
      </c>
      <c r="L64" s="288"/>
      <c r="M64" s="153"/>
      <c r="N64" s="2"/>
      <c r="O64" s="149" t="s">
        <v>1416</v>
      </c>
      <c r="P64" s="147" t="s">
        <v>1849</v>
      </c>
      <c r="Q64" s="151">
        <f t="shared" si="0"/>
        <v>0.8</v>
      </c>
      <c r="R64" s="151">
        <f t="shared" si="1"/>
        <v>0.2</v>
      </c>
      <c r="S64" s="2"/>
      <c r="T64" s="2"/>
      <c r="U64" s="2"/>
      <c r="V64" s="2"/>
      <c r="W64" s="2"/>
      <c r="X64" s="2"/>
    </row>
    <row r="65" spans="1:24" customFormat="1" x14ac:dyDescent="0.3">
      <c r="A65" s="2"/>
      <c r="B65" s="2"/>
      <c r="C65" s="2"/>
      <c r="D65" s="2"/>
      <c r="E65" s="119" t="s">
        <v>1207</v>
      </c>
      <c r="F65" s="119" t="s">
        <v>1208</v>
      </c>
      <c r="G65" s="119" t="s">
        <v>1271</v>
      </c>
      <c r="H65" s="119" t="s">
        <v>1400</v>
      </c>
      <c r="I65" s="119" t="s">
        <v>1258</v>
      </c>
      <c r="J65" s="119" t="s">
        <v>1259</v>
      </c>
      <c r="K65" s="288"/>
      <c r="L65" s="288"/>
      <c r="M65" s="153"/>
      <c r="N65" s="2"/>
      <c r="O65" s="148" t="s">
        <v>1488</v>
      </c>
      <c r="P65" s="146" t="s">
        <v>1849</v>
      </c>
      <c r="Q65" s="150">
        <f t="shared" si="0"/>
        <v>0.8</v>
      </c>
      <c r="R65" s="150">
        <f t="shared" si="1"/>
        <v>0.2</v>
      </c>
      <c r="S65" s="2"/>
      <c r="T65" s="2"/>
      <c r="U65" s="2"/>
      <c r="V65" s="2"/>
      <c r="W65" s="2"/>
      <c r="X65" s="2"/>
    </row>
    <row r="66" spans="1:24" customFormat="1" x14ac:dyDescent="0.3">
      <c r="A66" s="2"/>
      <c r="B66" s="2"/>
      <c r="C66" s="2"/>
      <c r="D66" s="2"/>
      <c r="E66" s="119" t="s">
        <v>1176</v>
      </c>
      <c r="F66" s="119" t="s">
        <v>1263</v>
      </c>
      <c r="G66" s="119" t="s">
        <v>1194</v>
      </c>
      <c r="H66" s="119" t="s">
        <v>1183</v>
      </c>
      <c r="I66" s="119" t="s">
        <v>1167</v>
      </c>
      <c r="J66" s="119" t="s">
        <v>1524</v>
      </c>
      <c r="K66" s="119" t="s">
        <v>1157</v>
      </c>
      <c r="L66" s="119" t="s">
        <v>1409</v>
      </c>
      <c r="M66" s="152"/>
      <c r="N66" s="2"/>
      <c r="O66" s="149" t="s">
        <v>1657</v>
      </c>
      <c r="P66" s="147" t="s">
        <v>1849</v>
      </c>
      <c r="Q66" s="151">
        <f t="shared" si="0"/>
        <v>0.8</v>
      </c>
      <c r="R66" s="151">
        <f t="shared" si="1"/>
        <v>0.2</v>
      </c>
      <c r="S66" s="2"/>
      <c r="T66" s="2"/>
      <c r="U66" s="2"/>
      <c r="V66" s="2"/>
      <c r="W66" s="2"/>
      <c r="X66" s="2"/>
    </row>
    <row r="67" spans="1:24" customFormat="1" x14ac:dyDescent="0.3">
      <c r="A67" s="2"/>
      <c r="B67" s="2"/>
      <c r="C67" s="2"/>
      <c r="D67" s="2"/>
      <c r="E67" s="119" t="s">
        <v>1209</v>
      </c>
      <c r="F67" s="119" t="s">
        <v>1210</v>
      </c>
      <c r="G67" s="119" t="s">
        <v>1160</v>
      </c>
      <c r="H67" s="119" t="s">
        <v>1401</v>
      </c>
      <c r="I67" s="119" t="s">
        <v>1299</v>
      </c>
      <c r="J67" s="119" t="s">
        <v>1525</v>
      </c>
      <c r="K67" s="119" t="s">
        <v>1232</v>
      </c>
      <c r="L67" s="119" t="s">
        <v>1373</v>
      </c>
      <c r="M67" s="152"/>
      <c r="N67" s="2"/>
      <c r="O67" s="148" t="s">
        <v>1197</v>
      </c>
      <c r="P67" s="146" t="s">
        <v>1849</v>
      </c>
      <c r="Q67" s="150">
        <f t="shared" si="0"/>
        <v>0.7857142857142857</v>
      </c>
      <c r="R67" s="150">
        <f t="shared" si="1"/>
        <v>0.21428571428571427</v>
      </c>
      <c r="S67" s="2"/>
      <c r="T67" s="2"/>
      <c r="U67" s="2"/>
      <c r="V67" s="2"/>
      <c r="W67" s="2"/>
      <c r="X67" s="2"/>
    </row>
    <row r="68" spans="1:24" customFormat="1" x14ac:dyDescent="0.3">
      <c r="A68" s="2"/>
      <c r="B68" s="2"/>
      <c r="C68" s="2"/>
      <c r="D68" s="2"/>
      <c r="E68" s="119" t="s">
        <v>1182</v>
      </c>
      <c r="F68" s="119" t="s">
        <v>1211</v>
      </c>
      <c r="G68" s="119" t="s">
        <v>1213</v>
      </c>
      <c r="H68" s="119" t="s">
        <v>1402</v>
      </c>
      <c r="I68" s="119" t="s">
        <v>1172</v>
      </c>
      <c r="J68" s="119" t="s">
        <v>1509</v>
      </c>
      <c r="K68" s="119" t="s">
        <v>1234</v>
      </c>
      <c r="L68" s="119" t="s">
        <v>1383</v>
      </c>
      <c r="M68" s="152"/>
      <c r="N68" s="2"/>
      <c r="O68" s="149" t="s">
        <v>1312</v>
      </c>
      <c r="P68" s="147" t="s">
        <v>1479</v>
      </c>
      <c r="Q68" s="151">
        <f t="shared" si="0"/>
        <v>0.75</v>
      </c>
      <c r="R68" s="151">
        <f t="shared" si="1"/>
        <v>0.25</v>
      </c>
      <c r="S68" s="2"/>
      <c r="T68" s="2"/>
      <c r="U68" s="2"/>
      <c r="V68" s="2"/>
      <c r="W68" s="2"/>
      <c r="X68" s="2"/>
    </row>
    <row r="69" spans="1:24" customFormat="1" x14ac:dyDescent="0.3">
      <c r="A69" s="2"/>
      <c r="B69" s="2"/>
      <c r="C69" s="2"/>
      <c r="D69" s="2"/>
      <c r="E69" s="119" t="s">
        <v>1160</v>
      </c>
      <c r="F69" s="119" t="s">
        <v>1212</v>
      </c>
      <c r="G69" s="119" t="s">
        <v>1216</v>
      </c>
      <c r="H69" s="119" t="s">
        <v>1403</v>
      </c>
      <c r="I69" s="119" t="s">
        <v>1226</v>
      </c>
      <c r="J69" s="119" t="s">
        <v>1413</v>
      </c>
      <c r="K69" s="119" t="s">
        <v>1236</v>
      </c>
      <c r="L69" s="119" t="s">
        <v>1663</v>
      </c>
      <c r="M69" s="152"/>
      <c r="N69" s="2"/>
      <c r="O69" s="148" t="s">
        <v>1584</v>
      </c>
      <c r="P69" s="146" t="s">
        <v>1850</v>
      </c>
      <c r="Q69" s="150">
        <f t="shared" si="0"/>
        <v>0.75</v>
      </c>
      <c r="R69" s="150">
        <f t="shared" si="1"/>
        <v>0.25</v>
      </c>
      <c r="S69" s="2"/>
      <c r="T69" s="2"/>
      <c r="U69" s="2"/>
      <c r="V69" s="2"/>
      <c r="W69" s="2"/>
      <c r="X69" s="2"/>
    </row>
    <row r="70" spans="1:24" customFormat="1" x14ac:dyDescent="0.3">
      <c r="A70" s="2"/>
      <c r="B70" s="2"/>
      <c r="C70" s="2"/>
      <c r="D70" s="2"/>
      <c r="E70" s="119" t="s">
        <v>1213</v>
      </c>
      <c r="F70" s="119" t="s">
        <v>1214</v>
      </c>
      <c r="G70" s="288" t="s">
        <v>1404</v>
      </c>
      <c r="H70" s="288"/>
      <c r="I70" s="119" t="s">
        <v>1180</v>
      </c>
      <c r="J70" s="119" t="s">
        <v>1181</v>
      </c>
      <c r="K70" s="119" t="s">
        <v>1287</v>
      </c>
      <c r="L70" s="119" t="s">
        <v>1651</v>
      </c>
      <c r="M70" s="152"/>
      <c r="N70" s="2"/>
      <c r="O70" s="149" t="s">
        <v>1231</v>
      </c>
      <c r="P70" s="147" t="s">
        <v>1849</v>
      </c>
      <c r="Q70" s="151">
        <f t="shared" si="0"/>
        <v>0.75</v>
      </c>
      <c r="R70" s="151">
        <f t="shared" si="1"/>
        <v>0.25</v>
      </c>
      <c r="S70" s="2"/>
      <c r="T70" s="2"/>
      <c r="U70" s="2"/>
      <c r="V70" s="2"/>
      <c r="W70" s="2"/>
      <c r="X70" s="2"/>
    </row>
    <row r="71" spans="1:24" customFormat="1" x14ac:dyDescent="0.3">
      <c r="A71" s="2"/>
      <c r="B71" s="2"/>
      <c r="C71" s="2"/>
      <c r="D71" s="2"/>
      <c r="E71" s="119" t="s">
        <v>1190</v>
      </c>
      <c r="F71" s="119" t="s">
        <v>1215</v>
      </c>
      <c r="G71" s="288"/>
      <c r="H71" s="288"/>
      <c r="I71" s="119" t="s">
        <v>1186</v>
      </c>
      <c r="J71" s="119" t="s">
        <v>1526</v>
      </c>
      <c r="K71" s="119" t="s">
        <v>1275</v>
      </c>
      <c r="L71" s="119" t="s">
        <v>1664</v>
      </c>
      <c r="M71" s="152"/>
      <c r="N71" s="2"/>
      <c r="O71" s="148" t="s">
        <v>1274</v>
      </c>
      <c r="P71" s="146" t="s">
        <v>1849</v>
      </c>
      <c r="Q71" s="150">
        <f t="shared" si="0"/>
        <v>0.75</v>
      </c>
      <c r="R71" s="150">
        <f t="shared" si="1"/>
        <v>0.25</v>
      </c>
      <c r="S71" s="2"/>
      <c r="T71" s="2"/>
      <c r="U71" s="2"/>
      <c r="V71" s="2"/>
      <c r="W71" s="2"/>
      <c r="X71" s="2"/>
    </row>
    <row r="72" spans="1:24" customFormat="1" x14ac:dyDescent="0.3">
      <c r="A72" s="2"/>
      <c r="B72" s="2"/>
      <c r="C72" s="2"/>
      <c r="D72" s="2"/>
      <c r="E72" s="119" t="s">
        <v>1216</v>
      </c>
      <c r="F72" s="119" t="s">
        <v>1217</v>
      </c>
      <c r="G72" s="119" t="s">
        <v>1157</v>
      </c>
      <c r="H72" s="119" t="s">
        <v>1409</v>
      </c>
      <c r="I72" s="119" t="s">
        <v>1160</v>
      </c>
      <c r="J72" s="119" t="s">
        <v>1527</v>
      </c>
      <c r="K72" s="119" t="s">
        <v>1238</v>
      </c>
      <c r="L72" s="119" t="s">
        <v>1665</v>
      </c>
      <c r="M72" s="152"/>
      <c r="N72" s="2"/>
      <c r="O72" s="149" t="s">
        <v>1574</v>
      </c>
      <c r="P72" s="147" t="s">
        <v>1849</v>
      </c>
      <c r="Q72" s="151">
        <f t="shared" si="0"/>
        <v>0.75</v>
      </c>
      <c r="R72" s="151">
        <f t="shared" si="1"/>
        <v>0.25</v>
      </c>
      <c r="S72" s="2"/>
      <c r="T72" s="2"/>
      <c r="U72" s="2"/>
      <c r="V72" s="2"/>
      <c r="W72" s="2"/>
      <c r="X72" s="2"/>
    </row>
    <row r="73" spans="1:24" customFormat="1" x14ac:dyDescent="0.3">
      <c r="A73" s="2"/>
      <c r="B73" s="2"/>
      <c r="C73" s="2"/>
      <c r="D73" s="2"/>
      <c r="E73" s="288" t="s">
        <v>1218</v>
      </c>
      <c r="F73" s="288"/>
      <c r="G73" s="119" t="s">
        <v>1293</v>
      </c>
      <c r="H73" s="119" t="s">
        <v>1405</v>
      </c>
      <c r="I73" s="119" t="s">
        <v>1322</v>
      </c>
      <c r="J73" s="119" t="s">
        <v>1495</v>
      </c>
      <c r="K73" s="119" t="s">
        <v>1289</v>
      </c>
      <c r="L73" s="119" t="s">
        <v>1666</v>
      </c>
      <c r="M73" s="152"/>
      <c r="N73" s="2"/>
      <c r="O73" s="148" t="s">
        <v>1681</v>
      </c>
      <c r="P73" s="146" t="s">
        <v>1849</v>
      </c>
      <c r="Q73" s="150">
        <f t="shared" si="0"/>
        <v>0.75</v>
      </c>
      <c r="R73" s="150">
        <f t="shared" si="1"/>
        <v>0.25</v>
      </c>
      <c r="S73" s="2"/>
      <c r="T73" s="2"/>
      <c r="U73" s="2"/>
      <c r="V73" s="2"/>
      <c r="W73" s="2"/>
      <c r="X73" s="2"/>
    </row>
    <row r="74" spans="1:24" customFormat="1" x14ac:dyDescent="0.3">
      <c r="A74" s="2"/>
      <c r="B74" s="2"/>
      <c r="C74" s="2"/>
      <c r="D74" s="2"/>
      <c r="E74" s="288"/>
      <c r="F74" s="288"/>
      <c r="G74" s="119" t="s">
        <v>1174</v>
      </c>
      <c r="H74" s="119" t="s">
        <v>1175</v>
      </c>
      <c r="I74" s="288" t="s">
        <v>1533</v>
      </c>
      <c r="J74" s="288"/>
      <c r="K74" s="119" t="s">
        <v>1395</v>
      </c>
      <c r="L74" s="119" t="s">
        <v>1667</v>
      </c>
      <c r="M74" s="152"/>
      <c r="N74" s="2"/>
      <c r="O74" s="149" t="s">
        <v>1690</v>
      </c>
      <c r="P74" s="147" t="s">
        <v>1849</v>
      </c>
      <c r="Q74" s="151">
        <f t="shared" si="0"/>
        <v>0.75</v>
      </c>
      <c r="R74" s="151">
        <f t="shared" si="1"/>
        <v>0.25</v>
      </c>
      <c r="S74" s="2"/>
      <c r="T74" s="2"/>
      <c r="U74" s="2"/>
      <c r="V74" s="2"/>
      <c r="W74" s="2"/>
      <c r="X74" s="2"/>
    </row>
    <row r="75" spans="1:24" customFormat="1" x14ac:dyDescent="0.3">
      <c r="A75" s="2"/>
      <c r="B75" s="2"/>
      <c r="C75" s="2"/>
      <c r="D75" s="2"/>
      <c r="E75" s="119" t="s">
        <v>1157</v>
      </c>
      <c r="F75" s="119" t="s">
        <v>1409</v>
      </c>
      <c r="G75" s="119" t="s">
        <v>1178</v>
      </c>
      <c r="H75" s="119" t="s">
        <v>1406</v>
      </c>
      <c r="I75" s="288"/>
      <c r="J75" s="288"/>
      <c r="K75" s="119" t="s">
        <v>1250</v>
      </c>
      <c r="L75" s="119" t="s">
        <v>1668</v>
      </c>
      <c r="M75" s="152"/>
      <c r="N75" s="2"/>
      <c r="O75" s="148" t="s">
        <v>1550</v>
      </c>
      <c r="P75" s="146" t="s">
        <v>1850</v>
      </c>
      <c r="Q75" s="150">
        <f t="shared" si="0"/>
        <v>0.75</v>
      </c>
      <c r="R75" s="150">
        <f t="shared" si="1"/>
        <v>0.25</v>
      </c>
      <c r="S75" s="2"/>
      <c r="T75" s="2"/>
      <c r="U75" s="2"/>
      <c r="V75" s="2"/>
      <c r="W75" s="2"/>
      <c r="X75" s="2"/>
    </row>
    <row r="76" spans="1:24" customFormat="1" x14ac:dyDescent="0.3">
      <c r="A76" s="2"/>
      <c r="B76" s="2"/>
      <c r="C76" s="2"/>
      <c r="D76" s="2"/>
      <c r="E76" s="119" t="s">
        <v>1219</v>
      </c>
      <c r="F76" s="119" t="s">
        <v>1220</v>
      </c>
      <c r="G76" s="119" t="s">
        <v>1184</v>
      </c>
      <c r="H76" s="119" t="s">
        <v>1407</v>
      </c>
      <c r="I76" s="119" t="s">
        <v>1157</v>
      </c>
      <c r="J76" s="119" t="s">
        <v>1409</v>
      </c>
      <c r="K76" s="119" t="s">
        <v>1198</v>
      </c>
      <c r="L76" s="119" t="s">
        <v>1669</v>
      </c>
      <c r="M76" s="152"/>
      <c r="N76" s="2"/>
      <c r="O76" s="149" t="s">
        <v>1693</v>
      </c>
      <c r="P76" s="147" t="s">
        <v>1849</v>
      </c>
      <c r="Q76" s="151">
        <f t="shared" si="0"/>
        <v>0.72727272727272729</v>
      </c>
      <c r="R76" s="151">
        <f t="shared" si="1"/>
        <v>0.27272727272727271</v>
      </c>
      <c r="S76" s="2"/>
      <c r="T76" s="2"/>
      <c r="U76" s="2"/>
      <c r="V76" s="2"/>
      <c r="W76" s="2"/>
      <c r="X76" s="2"/>
    </row>
    <row r="77" spans="1:24" customFormat="1" x14ac:dyDescent="0.3">
      <c r="A77" s="2"/>
      <c r="B77" s="2"/>
      <c r="C77" s="2"/>
      <c r="D77" s="2"/>
      <c r="E77" s="119" t="s">
        <v>1165</v>
      </c>
      <c r="F77" s="119" t="s">
        <v>1221</v>
      </c>
      <c r="G77" s="119" t="s">
        <v>1184</v>
      </c>
      <c r="H77" s="119" t="s">
        <v>1408</v>
      </c>
      <c r="I77" s="119" t="s">
        <v>1232</v>
      </c>
      <c r="J77" s="119" t="s">
        <v>1534</v>
      </c>
      <c r="K77" s="119" t="s">
        <v>1240</v>
      </c>
      <c r="L77" s="119" t="s">
        <v>1241</v>
      </c>
      <c r="M77" s="152"/>
      <c r="N77" s="2"/>
      <c r="O77" s="148" t="s">
        <v>1266</v>
      </c>
      <c r="P77" s="146" t="s">
        <v>1849</v>
      </c>
      <c r="Q77" s="150">
        <f t="shared" si="0"/>
        <v>0.7142857142857143</v>
      </c>
      <c r="R77" s="150">
        <f t="shared" si="1"/>
        <v>0.2857142857142857</v>
      </c>
      <c r="S77" s="2"/>
      <c r="T77" s="2"/>
      <c r="U77" s="2"/>
      <c r="V77" s="2"/>
      <c r="W77" s="2"/>
      <c r="X77" s="2"/>
    </row>
    <row r="78" spans="1:24" customFormat="1" x14ac:dyDescent="0.3">
      <c r="A78" s="2"/>
      <c r="B78" s="2"/>
      <c r="C78" s="2"/>
      <c r="D78" s="2"/>
      <c r="E78" s="288" t="s">
        <v>1222</v>
      </c>
      <c r="F78" s="288"/>
      <c r="G78" s="119" t="s">
        <v>1188</v>
      </c>
      <c r="H78" s="119" t="s">
        <v>1189</v>
      </c>
      <c r="I78" s="119" t="s">
        <v>1275</v>
      </c>
      <c r="J78" s="119" t="s">
        <v>1535</v>
      </c>
      <c r="K78" s="119" t="s">
        <v>1283</v>
      </c>
      <c r="L78" s="119" t="s">
        <v>1284</v>
      </c>
      <c r="M78" s="152"/>
      <c r="N78" s="2"/>
      <c r="O78" s="149" t="s">
        <v>1387</v>
      </c>
      <c r="P78" s="147" t="s">
        <v>1849</v>
      </c>
      <c r="Q78" s="151">
        <f t="shared" si="0"/>
        <v>0.7142857142857143</v>
      </c>
      <c r="R78" s="151">
        <f t="shared" si="1"/>
        <v>0.2857142857142857</v>
      </c>
      <c r="S78" s="2"/>
      <c r="T78" s="2"/>
      <c r="U78" s="2"/>
      <c r="V78" s="2"/>
      <c r="W78" s="2"/>
      <c r="X78" s="2"/>
    </row>
    <row r="79" spans="1:24" customFormat="1" x14ac:dyDescent="0.3">
      <c r="A79" s="2"/>
      <c r="B79" s="2"/>
      <c r="C79" s="2"/>
      <c r="D79" s="2"/>
      <c r="E79" s="288"/>
      <c r="F79" s="288"/>
      <c r="G79" s="288" t="s">
        <v>1410</v>
      </c>
      <c r="H79" s="288"/>
      <c r="I79" s="119" t="s">
        <v>1250</v>
      </c>
      <c r="J79" s="119" t="s">
        <v>1251</v>
      </c>
      <c r="K79" s="119" t="s">
        <v>1219</v>
      </c>
      <c r="L79" s="119" t="s">
        <v>1471</v>
      </c>
      <c r="M79" s="152"/>
      <c r="N79" s="2"/>
      <c r="O79" s="148" t="s">
        <v>1540</v>
      </c>
      <c r="P79" s="146" t="s">
        <v>1849</v>
      </c>
      <c r="Q79" s="150">
        <f t="shared" si="0"/>
        <v>0.7142857142857143</v>
      </c>
      <c r="R79" s="150">
        <f t="shared" si="1"/>
        <v>0.2857142857142857</v>
      </c>
      <c r="S79" s="2"/>
      <c r="T79" s="2"/>
      <c r="U79" s="2"/>
      <c r="V79" s="2"/>
      <c r="W79" s="2"/>
      <c r="X79" s="2"/>
    </row>
    <row r="80" spans="1:24" customFormat="1" x14ac:dyDescent="0.3">
      <c r="A80" s="2"/>
      <c r="B80" s="2"/>
      <c r="C80" s="2"/>
      <c r="D80" s="2"/>
      <c r="E80" s="119" t="s">
        <v>1157</v>
      </c>
      <c r="F80" s="119" t="s">
        <v>1409</v>
      </c>
      <c r="G80" s="288"/>
      <c r="H80" s="288"/>
      <c r="I80" s="119" t="s">
        <v>1302</v>
      </c>
      <c r="J80" s="119" t="s">
        <v>1303</v>
      </c>
      <c r="K80" s="119" t="s">
        <v>1193</v>
      </c>
      <c r="L80" s="119" t="s">
        <v>1670</v>
      </c>
      <c r="M80" s="152"/>
      <c r="N80" s="2"/>
      <c r="O80" s="149" t="s">
        <v>1650</v>
      </c>
      <c r="P80" s="147" t="s">
        <v>1849</v>
      </c>
      <c r="Q80" s="151">
        <f t="shared" si="0"/>
        <v>0.7142857142857143</v>
      </c>
      <c r="R80" s="151">
        <f t="shared" si="1"/>
        <v>0.2857142857142857</v>
      </c>
      <c r="S80" s="2"/>
      <c r="T80" s="2"/>
      <c r="U80" s="2"/>
      <c r="V80" s="2"/>
      <c r="W80" s="2"/>
      <c r="X80" s="2"/>
    </row>
    <row r="81" spans="1:24" customFormat="1" x14ac:dyDescent="0.3">
      <c r="A81" s="2"/>
      <c r="B81" s="2"/>
      <c r="C81" s="2"/>
      <c r="D81" s="2"/>
      <c r="E81" s="119" t="s">
        <v>1167</v>
      </c>
      <c r="F81" s="119" t="s">
        <v>1223</v>
      </c>
      <c r="G81" s="119" t="s">
        <v>1157</v>
      </c>
      <c r="H81" s="119" t="s">
        <v>1409</v>
      </c>
      <c r="I81" s="119" t="s">
        <v>1320</v>
      </c>
      <c r="J81" s="119" t="s">
        <v>1536</v>
      </c>
      <c r="K81" s="119" t="s">
        <v>1256</v>
      </c>
      <c r="L81" s="119" t="s">
        <v>1671</v>
      </c>
      <c r="M81" s="152"/>
      <c r="N81" s="2"/>
      <c r="O81" s="148" t="s">
        <v>1711</v>
      </c>
      <c r="P81" s="146" t="s">
        <v>1850</v>
      </c>
      <c r="Q81" s="150">
        <f t="shared" si="0"/>
        <v>0.7142857142857143</v>
      </c>
      <c r="R81" s="150">
        <f t="shared" si="1"/>
        <v>0.2857142857142857</v>
      </c>
      <c r="S81" s="2"/>
      <c r="T81" s="2"/>
      <c r="U81" s="2"/>
      <c r="V81" s="2"/>
      <c r="W81" s="2"/>
      <c r="X81" s="2"/>
    </row>
    <row r="82" spans="1:24" customFormat="1" x14ac:dyDescent="0.3">
      <c r="A82" s="2"/>
      <c r="B82" s="2"/>
      <c r="C82" s="2"/>
      <c r="D82" s="2"/>
      <c r="E82" s="119" t="s">
        <v>1224</v>
      </c>
      <c r="F82" s="119" t="s">
        <v>1225</v>
      </c>
      <c r="G82" s="119" t="s">
        <v>1158</v>
      </c>
      <c r="H82" s="119" t="s">
        <v>1270</v>
      </c>
      <c r="I82" s="288" t="s">
        <v>1537</v>
      </c>
      <c r="J82" s="288"/>
      <c r="K82" s="119" t="s">
        <v>1203</v>
      </c>
      <c r="L82" s="119" t="s">
        <v>1171</v>
      </c>
      <c r="M82" s="152"/>
      <c r="N82" s="2"/>
      <c r="O82" s="149" t="s">
        <v>1696</v>
      </c>
      <c r="P82" s="147" t="s">
        <v>1849</v>
      </c>
      <c r="Q82" s="151">
        <f t="shared" si="0"/>
        <v>0.66666666666666663</v>
      </c>
      <c r="R82" s="151">
        <f t="shared" si="1"/>
        <v>0.33333333333333331</v>
      </c>
      <c r="S82" s="2"/>
      <c r="T82" s="2"/>
      <c r="U82" s="2"/>
      <c r="V82" s="2"/>
      <c r="W82" s="2"/>
      <c r="X82" s="2"/>
    </row>
    <row r="83" spans="1:24" customFormat="1" x14ac:dyDescent="0.3">
      <c r="A83" s="2"/>
      <c r="B83" s="2"/>
      <c r="C83" s="2"/>
      <c r="D83" s="2"/>
      <c r="E83" s="119" t="s">
        <v>1226</v>
      </c>
      <c r="F83" s="119" t="s">
        <v>1227</v>
      </c>
      <c r="G83" s="119" t="s">
        <v>1411</v>
      </c>
      <c r="H83" s="119" t="s">
        <v>1412</v>
      </c>
      <c r="I83" s="288"/>
      <c r="J83" s="288"/>
      <c r="K83" s="119" t="s">
        <v>1271</v>
      </c>
      <c r="L83" s="119" t="s">
        <v>1438</v>
      </c>
      <c r="M83" s="152"/>
      <c r="N83" s="2"/>
      <c r="O83" s="148" t="s">
        <v>1306</v>
      </c>
      <c r="P83" s="146" t="s">
        <v>1850</v>
      </c>
      <c r="Q83" s="150">
        <f t="shared" si="0"/>
        <v>0.66666666666666663</v>
      </c>
      <c r="R83" s="150">
        <f t="shared" si="1"/>
        <v>0.33333333333333331</v>
      </c>
      <c r="S83" s="2"/>
      <c r="T83" s="2"/>
      <c r="U83" s="2"/>
      <c r="V83" s="2"/>
      <c r="W83" s="2"/>
      <c r="X83" s="2"/>
    </row>
    <row r="84" spans="1:24" customFormat="1" x14ac:dyDescent="0.3">
      <c r="A84" s="2"/>
      <c r="B84" s="2"/>
      <c r="C84" s="2"/>
      <c r="D84" s="2"/>
      <c r="E84" s="119" t="s">
        <v>1228</v>
      </c>
      <c r="F84" s="119" t="s">
        <v>1229</v>
      </c>
      <c r="G84" s="119" t="s">
        <v>1226</v>
      </c>
      <c r="H84" s="119" t="s">
        <v>1413</v>
      </c>
      <c r="I84" s="119" t="s">
        <v>1157</v>
      </c>
      <c r="J84" s="119" t="s">
        <v>1409</v>
      </c>
      <c r="K84" s="288" t="s">
        <v>1672</v>
      </c>
      <c r="L84" s="288"/>
      <c r="M84" s="153"/>
      <c r="N84" s="2"/>
      <c r="O84" s="149" t="s">
        <v>1718</v>
      </c>
      <c r="P84" s="147" t="s">
        <v>1849</v>
      </c>
      <c r="Q84" s="151">
        <f t="shared" si="0"/>
        <v>0.66666666666666663</v>
      </c>
      <c r="R84" s="151">
        <f t="shared" si="1"/>
        <v>0.33333333333333331</v>
      </c>
      <c r="S84" s="2"/>
      <c r="T84" s="2"/>
      <c r="U84" s="2"/>
      <c r="V84" s="2"/>
      <c r="W84" s="2"/>
      <c r="X84" s="2"/>
    </row>
    <row r="85" spans="1:24" customFormat="1" x14ac:dyDescent="0.3">
      <c r="A85" s="2"/>
      <c r="B85" s="2"/>
      <c r="C85" s="2"/>
      <c r="D85" s="2"/>
      <c r="E85" s="119" t="s">
        <v>1186</v>
      </c>
      <c r="F85" s="119" t="s">
        <v>1230</v>
      </c>
      <c r="G85" s="119" t="s">
        <v>1176</v>
      </c>
      <c r="H85" s="119" t="s">
        <v>1414</v>
      </c>
      <c r="I85" s="119" t="s">
        <v>1207</v>
      </c>
      <c r="J85" s="119" t="s">
        <v>1260</v>
      </c>
      <c r="K85" s="288"/>
      <c r="L85" s="288"/>
      <c r="M85" s="153"/>
      <c r="N85" s="2"/>
      <c r="O85" s="148" t="s">
        <v>1297</v>
      </c>
      <c r="P85" s="146" t="s">
        <v>1850</v>
      </c>
      <c r="Q85" s="150">
        <f t="shared" si="0"/>
        <v>0.66666666666666663</v>
      </c>
      <c r="R85" s="150">
        <f t="shared" si="1"/>
        <v>0.33333333333333331</v>
      </c>
      <c r="S85" s="2"/>
      <c r="T85" s="2"/>
      <c r="U85" s="2"/>
      <c r="V85" s="2"/>
      <c r="W85" s="2"/>
      <c r="X85" s="2"/>
    </row>
    <row r="86" spans="1:24" customFormat="1" x14ac:dyDescent="0.3">
      <c r="A86" s="2"/>
      <c r="B86" s="2"/>
      <c r="C86" s="2"/>
      <c r="D86" s="2"/>
      <c r="E86" s="288" t="s">
        <v>1231</v>
      </c>
      <c r="F86" s="288"/>
      <c r="G86" s="119" t="s">
        <v>1178</v>
      </c>
      <c r="H86" s="119" t="s">
        <v>1264</v>
      </c>
      <c r="I86" s="119" t="s">
        <v>1190</v>
      </c>
      <c r="J86" s="119" t="s">
        <v>1191</v>
      </c>
      <c r="K86" s="119" t="s">
        <v>1157</v>
      </c>
      <c r="L86" s="119" t="s">
        <v>1409</v>
      </c>
      <c r="M86" s="152"/>
      <c r="N86" s="2"/>
      <c r="O86" s="149" t="s">
        <v>1426</v>
      </c>
      <c r="P86" s="147" t="s">
        <v>1850</v>
      </c>
      <c r="Q86" s="151">
        <f t="shared" si="0"/>
        <v>0.66666666666666663</v>
      </c>
      <c r="R86" s="151">
        <f t="shared" si="1"/>
        <v>0.33333333333333331</v>
      </c>
      <c r="S86" s="2"/>
      <c r="T86" s="2"/>
      <c r="U86" s="2"/>
      <c r="V86" s="2"/>
      <c r="W86" s="2"/>
      <c r="X86" s="2"/>
    </row>
    <row r="87" spans="1:24" customFormat="1" x14ac:dyDescent="0.3">
      <c r="A87" s="2"/>
      <c r="B87" s="2"/>
      <c r="C87" s="2"/>
      <c r="D87" s="2"/>
      <c r="E87" s="288"/>
      <c r="F87" s="288"/>
      <c r="G87" s="119" t="s">
        <v>1216</v>
      </c>
      <c r="H87" s="119" t="s">
        <v>1415</v>
      </c>
      <c r="I87" s="288" t="s">
        <v>1538</v>
      </c>
      <c r="J87" s="288"/>
      <c r="K87" s="119" t="s">
        <v>1371</v>
      </c>
      <c r="L87" s="119" t="s">
        <v>1673</v>
      </c>
      <c r="M87" s="152"/>
      <c r="N87" s="2"/>
      <c r="O87" s="148" t="s">
        <v>1440</v>
      </c>
      <c r="P87" s="146" t="s">
        <v>1849</v>
      </c>
      <c r="Q87" s="150">
        <f t="shared" si="0"/>
        <v>0.66666666666666663</v>
      </c>
      <c r="R87" s="150">
        <f t="shared" si="1"/>
        <v>0.33333333333333331</v>
      </c>
      <c r="S87" s="2"/>
      <c r="T87" s="2"/>
      <c r="U87" s="2"/>
      <c r="V87" s="2"/>
      <c r="W87" s="2"/>
      <c r="X87" s="2"/>
    </row>
    <row r="88" spans="1:24" customFormat="1" x14ac:dyDescent="0.3">
      <c r="A88" s="2"/>
      <c r="B88" s="2"/>
      <c r="C88" s="2"/>
      <c r="D88" s="2"/>
      <c r="E88" s="119" t="s">
        <v>1157</v>
      </c>
      <c r="F88" s="119" t="s">
        <v>1409</v>
      </c>
      <c r="G88" s="288" t="s">
        <v>1416</v>
      </c>
      <c r="H88" s="288"/>
      <c r="I88" s="288"/>
      <c r="J88" s="288"/>
      <c r="K88" s="119" t="s">
        <v>1236</v>
      </c>
      <c r="L88" s="119" t="s">
        <v>1674</v>
      </c>
      <c r="M88" s="152"/>
      <c r="N88" s="2"/>
      <c r="O88" s="149" t="s">
        <v>1475</v>
      </c>
      <c r="P88" s="147" t="s">
        <v>1849</v>
      </c>
      <c r="Q88" s="151">
        <f t="shared" si="0"/>
        <v>0.66666666666666663</v>
      </c>
      <c r="R88" s="151">
        <f t="shared" si="1"/>
        <v>0.33333333333333331</v>
      </c>
      <c r="S88" s="2"/>
      <c r="T88" s="2"/>
      <c r="U88" s="2"/>
      <c r="V88" s="2"/>
      <c r="W88" s="2"/>
      <c r="X88" s="2"/>
    </row>
    <row r="89" spans="1:24" customFormat="1" x14ac:dyDescent="0.3">
      <c r="A89" s="2"/>
      <c r="B89" s="2"/>
      <c r="C89" s="2"/>
      <c r="D89" s="2"/>
      <c r="E89" s="119" t="s">
        <v>1232</v>
      </c>
      <c r="F89" s="119" t="s">
        <v>1233</v>
      </c>
      <c r="G89" s="288"/>
      <c r="H89" s="288"/>
      <c r="I89" s="119" t="s">
        <v>1157</v>
      </c>
      <c r="J89" s="119" t="s">
        <v>1409</v>
      </c>
      <c r="K89" s="119" t="s">
        <v>1287</v>
      </c>
      <c r="L89" s="119" t="s">
        <v>1675</v>
      </c>
      <c r="M89" s="152"/>
      <c r="N89" s="2"/>
      <c r="O89" s="148" t="s">
        <v>1496</v>
      </c>
      <c r="P89" s="146" t="s">
        <v>1851</v>
      </c>
      <c r="Q89" s="150">
        <f t="shared" si="0"/>
        <v>0.66666666666666663</v>
      </c>
      <c r="R89" s="150">
        <f t="shared" si="1"/>
        <v>0.33333333333333331</v>
      </c>
      <c r="S89" s="2"/>
      <c r="T89" s="2"/>
      <c r="U89" s="2"/>
      <c r="V89" s="2"/>
      <c r="W89" s="2"/>
      <c r="X89" s="2"/>
    </row>
    <row r="90" spans="1:24" customFormat="1" x14ac:dyDescent="0.3">
      <c r="A90" s="2"/>
      <c r="B90" s="2"/>
      <c r="C90" s="2"/>
      <c r="D90" s="2"/>
      <c r="E90" s="119" t="s">
        <v>1234</v>
      </c>
      <c r="F90" s="119" t="s">
        <v>1235</v>
      </c>
      <c r="G90" s="119" t="s">
        <v>1157</v>
      </c>
      <c r="H90" s="119" t="s">
        <v>1409</v>
      </c>
      <c r="I90" s="119" t="s">
        <v>1209</v>
      </c>
      <c r="J90" s="119" t="s">
        <v>1528</v>
      </c>
      <c r="K90" s="119" t="s">
        <v>1275</v>
      </c>
      <c r="L90" s="119" t="s">
        <v>1276</v>
      </c>
      <c r="M90" s="152"/>
      <c r="N90" s="2"/>
      <c r="O90" s="149" t="s">
        <v>1514</v>
      </c>
      <c r="P90" s="147" t="s">
        <v>1850</v>
      </c>
      <c r="Q90" s="151">
        <f t="shared" si="0"/>
        <v>0.625</v>
      </c>
      <c r="R90" s="151">
        <f t="shared" si="1"/>
        <v>0.375</v>
      </c>
      <c r="S90" s="2"/>
      <c r="T90" s="2"/>
      <c r="U90" s="2"/>
      <c r="V90" s="2"/>
      <c r="W90" s="2"/>
      <c r="X90" s="2"/>
    </row>
    <row r="91" spans="1:24" customFormat="1" x14ac:dyDescent="0.3">
      <c r="A91" s="2"/>
      <c r="B91" s="2"/>
      <c r="C91" s="2"/>
      <c r="D91" s="2"/>
      <c r="E91" s="119" t="s">
        <v>1236</v>
      </c>
      <c r="F91" s="119" t="s">
        <v>1237</v>
      </c>
      <c r="G91" s="119" t="s">
        <v>1395</v>
      </c>
      <c r="H91" s="119" t="s">
        <v>1417</v>
      </c>
      <c r="I91" s="119" t="s">
        <v>1180</v>
      </c>
      <c r="J91" s="119" t="s">
        <v>1539</v>
      </c>
      <c r="K91" s="119" t="s">
        <v>1238</v>
      </c>
      <c r="L91" s="119" t="s">
        <v>1676</v>
      </c>
      <c r="M91" s="152"/>
      <c r="N91" s="2"/>
      <c r="O91" s="148" t="s">
        <v>1380</v>
      </c>
      <c r="P91" s="146" t="s">
        <v>1849</v>
      </c>
      <c r="Q91" s="150">
        <f t="shared" si="0"/>
        <v>0.625</v>
      </c>
      <c r="R91" s="150">
        <f t="shared" si="1"/>
        <v>0.375</v>
      </c>
      <c r="S91" s="2"/>
      <c r="T91" s="2"/>
      <c r="U91" s="2"/>
      <c r="V91" s="2"/>
      <c r="W91" s="2"/>
      <c r="X91" s="2"/>
    </row>
    <row r="92" spans="1:24" customFormat="1" x14ac:dyDescent="0.3">
      <c r="A92" s="2"/>
      <c r="B92" s="2"/>
      <c r="C92" s="2"/>
      <c r="D92" s="2"/>
      <c r="E92" s="119" t="s">
        <v>1238</v>
      </c>
      <c r="F92" s="119" t="s">
        <v>1239</v>
      </c>
      <c r="G92" s="119" t="s">
        <v>1277</v>
      </c>
      <c r="H92" s="119" t="s">
        <v>1418</v>
      </c>
      <c r="I92" s="119" t="s">
        <v>1186</v>
      </c>
      <c r="J92" s="119" t="s">
        <v>1388</v>
      </c>
      <c r="K92" s="119" t="s">
        <v>1395</v>
      </c>
      <c r="L92" s="119" t="s">
        <v>1677</v>
      </c>
      <c r="M92" s="152"/>
      <c r="N92" s="2"/>
      <c r="O92" s="149" t="s">
        <v>1742</v>
      </c>
      <c r="P92" s="147" t="s">
        <v>1849</v>
      </c>
      <c r="Q92" s="151">
        <f t="shared" si="0"/>
        <v>0.625</v>
      </c>
      <c r="R92" s="151">
        <f t="shared" si="1"/>
        <v>0.375</v>
      </c>
      <c r="S92" s="2"/>
      <c r="T92" s="2"/>
      <c r="U92" s="2"/>
      <c r="V92" s="2"/>
      <c r="W92" s="2"/>
      <c r="X92" s="2"/>
    </row>
    <row r="93" spans="1:24" customFormat="1" x14ac:dyDescent="0.3">
      <c r="A93" s="2"/>
      <c r="B93" s="2"/>
      <c r="C93" s="2"/>
      <c r="D93" s="2"/>
      <c r="E93" s="119" t="s">
        <v>1240</v>
      </c>
      <c r="F93" s="119" t="s">
        <v>1241</v>
      </c>
      <c r="G93" s="119" t="s">
        <v>1419</v>
      </c>
      <c r="H93" s="119" t="s">
        <v>1284</v>
      </c>
      <c r="I93" s="119" t="s">
        <v>1320</v>
      </c>
      <c r="J93" s="119" t="s">
        <v>1536</v>
      </c>
      <c r="K93" s="119" t="s">
        <v>1250</v>
      </c>
      <c r="L93" s="119" t="s">
        <v>1678</v>
      </c>
      <c r="M93" s="152"/>
      <c r="N93" s="2"/>
      <c r="O93" s="148" t="s">
        <v>1569</v>
      </c>
      <c r="P93" s="146" t="s">
        <v>1849</v>
      </c>
      <c r="Q93" s="150">
        <f t="shared" si="0"/>
        <v>0.625</v>
      </c>
      <c r="R93" s="150">
        <f t="shared" si="1"/>
        <v>0.375</v>
      </c>
      <c r="S93" s="2"/>
      <c r="T93" s="2"/>
      <c r="U93" s="2"/>
      <c r="V93" s="2"/>
      <c r="W93" s="2"/>
      <c r="X93" s="2"/>
    </row>
    <row r="94" spans="1:24" customFormat="1" x14ac:dyDescent="0.3">
      <c r="A94" s="2"/>
      <c r="B94" s="2"/>
      <c r="C94" s="2"/>
      <c r="D94" s="2"/>
      <c r="E94" s="119" t="s">
        <v>1242</v>
      </c>
      <c r="F94" s="119" t="s">
        <v>1243</v>
      </c>
      <c r="G94" s="119" t="s">
        <v>1291</v>
      </c>
      <c r="H94" s="119" t="s">
        <v>1420</v>
      </c>
      <c r="I94" s="288" t="s">
        <v>1540</v>
      </c>
      <c r="J94" s="288"/>
      <c r="K94" s="119" t="s">
        <v>1198</v>
      </c>
      <c r="L94" s="119" t="s">
        <v>1669</v>
      </c>
      <c r="M94" s="152"/>
      <c r="N94" s="2"/>
      <c r="O94" s="149" t="s">
        <v>1350</v>
      </c>
      <c r="P94" s="147" t="s">
        <v>1849</v>
      </c>
      <c r="Q94" s="151">
        <f t="shared" si="0"/>
        <v>0.6</v>
      </c>
      <c r="R94" s="151">
        <f t="shared" si="1"/>
        <v>0.4</v>
      </c>
      <c r="S94" s="2"/>
      <c r="T94" s="2"/>
      <c r="U94" s="2"/>
      <c r="V94" s="2"/>
      <c r="W94" s="2"/>
      <c r="X94" s="2"/>
    </row>
    <row r="95" spans="1:24" customFormat="1" x14ac:dyDescent="0.3">
      <c r="A95" s="2"/>
      <c r="B95" s="2"/>
      <c r="C95" s="2"/>
      <c r="D95" s="2"/>
      <c r="E95" s="119" t="s">
        <v>1244</v>
      </c>
      <c r="F95" s="119" t="s">
        <v>1245</v>
      </c>
      <c r="G95" s="119" t="s">
        <v>1258</v>
      </c>
      <c r="H95" s="119" t="s">
        <v>1421</v>
      </c>
      <c r="I95" s="288"/>
      <c r="J95" s="288"/>
      <c r="K95" s="119" t="s">
        <v>1283</v>
      </c>
      <c r="L95" s="119" t="s">
        <v>1679</v>
      </c>
      <c r="M95" s="152"/>
      <c r="N95" s="2"/>
      <c r="O95" s="148" t="s">
        <v>1501</v>
      </c>
      <c r="P95" s="146" t="s">
        <v>1849</v>
      </c>
      <c r="Q95" s="150">
        <f t="shared" si="0"/>
        <v>0.6</v>
      </c>
      <c r="R95" s="150">
        <f t="shared" si="1"/>
        <v>0.4</v>
      </c>
      <c r="S95" s="2"/>
      <c r="T95" s="2"/>
      <c r="U95" s="2"/>
      <c r="V95" s="2"/>
      <c r="W95" s="2"/>
      <c r="X95" s="2"/>
    </row>
    <row r="96" spans="1:24" customFormat="1" x14ac:dyDescent="0.3">
      <c r="A96" s="2"/>
      <c r="B96" s="2"/>
      <c r="C96" s="2"/>
      <c r="D96" s="2"/>
      <c r="E96" s="119" t="s">
        <v>1246</v>
      </c>
      <c r="F96" s="119" t="s">
        <v>1247</v>
      </c>
      <c r="G96" s="288" t="s">
        <v>1422</v>
      </c>
      <c r="H96" s="288"/>
      <c r="I96" s="119" t="s">
        <v>1157</v>
      </c>
      <c r="J96" s="119" t="s">
        <v>1409</v>
      </c>
      <c r="K96" s="119" t="s">
        <v>1256</v>
      </c>
      <c r="L96" s="119" t="s">
        <v>1506</v>
      </c>
      <c r="M96" s="152"/>
      <c r="N96" s="2"/>
      <c r="O96" s="149" t="s">
        <v>1533</v>
      </c>
      <c r="P96" s="147" t="s">
        <v>1850</v>
      </c>
      <c r="Q96" s="151">
        <f t="shared" si="0"/>
        <v>0.6</v>
      </c>
      <c r="R96" s="151">
        <f t="shared" si="1"/>
        <v>0.4</v>
      </c>
      <c r="S96" s="2"/>
      <c r="T96" s="2"/>
      <c r="U96" s="2"/>
      <c r="V96" s="2"/>
      <c r="W96" s="2"/>
      <c r="X96" s="2"/>
    </row>
    <row r="97" spans="1:24" customFormat="1" x14ac:dyDescent="0.3">
      <c r="A97" s="2"/>
      <c r="B97" s="2"/>
      <c r="C97" s="2"/>
      <c r="D97" s="2"/>
      <c r="E97" s="288" t="s">
        <v>1249</v>
      </c>
      <c r="F97" s="288"/>
      <c r="G97" s="288"/>
      <c r="H97" s="288"/>
      <c r="I97" s="119" t="s">
        <v>1198</v>
      </c>
      <c r="J97" s="119" t="s">
        <v>1541</v>
      </c>
      <c r="K97" s="119" t="s">
        <v>1159</v>
      </c>
      <c r="L97" s="119" t="s">
        <v>1680</v>
      </c>
      <c r="M97" s="152"/>
      <c r="N97" s="2"/>
      <c r="O97" s="148" t="s">
        <v>1633</v>
      </c>
      <c r="P97" s="146" t="s">
        <v>1851</v>
      </c>
      <c r="Q97" s="150">
        <f t="shared" si="0"/>
        <v>0.6</v>
      </c>
      <c r="R97" s="150">
        <f t="shared" si="1"/>
        <v>0.4</v>
      </c>
      <c r="S97" s="2"/>
      <c r="T97" s="2"/>
      <c r="U97" s="2"/>
      <c r="V97" s="2"/>
      <c r="W97" s="2"/>
      <c r="X97" s="2"/>
    </row>
    <row r="98" spans="1:24" customFormat="1" x14ac:dyDescent="0.3">
      <c r="A98" s="2"/>
      <c r="B98" s="2"/>
      <c r="C98" s="2"/>
      <c r="D98" s="2"/>
      <c r="E98" s="288"/>
      <c r="F98" s="288"/>
      <c r="G98" s="119" t="s">
        <v>1157</v>
      </c>
      <c r="H98" s="119" t="s">
        <v>1409</v>
      </c>
      <c r="I98" s="119" t="s">
        <v>1219</v>
      </c>
      <c r="J98" s="119" t="s">
        <v>1758</v>
      </c>
      <c r="K98" s="119" t="s">
        <v>1213</v>
      </c>
      <c r="L98" s="119" t="s">
        <v>1402</v>
      </c>
      <c r="M98" s="152"/>
      <c r="N98" s="2"/>
      <c r="O98" s="149" t="s">
        <v>1686</v>
      </c>
      <c r="P98" s="147" t="s">
        <v>1849</v>
      </c>
      <c r="Q98" s="151">
        <f t="shared" ref="Q98:Q153" si="2">$H348/$D348</f>
        <v>0.6</v>
      </c>
      <c r="R98" s="151">
        <f t="shared" ref="R98:R153" si="3">$I348/$D348</f>
        <v>0.4</v>
      </c>
      <c r="S98" s="2"/>
      <c r="T98" s="2"/>
      <c r="U98" s="2"/>
      <c r="V98" s="2"/>
      <c r="W98" s="2"/>
      <c r="X98" s="2"/>
    </row>
    <row r="99" spans="1:24" customFormat="1" x14ac:dyDescent="0.3">
      <c r="A99" s="2"/>
      <c r="B99" s="2"/>
      <c r="C99" s="2"/>
      <c r="D99" s="2"/>
      <c r="E99" s="119" t="s">
        <v>1157</v>
      </c>
      <c r="F99" s="119" t="s">
        <v>1409</v>
      </c>
      <c r="G99" s="119" t="s">
        <v>1371</v>
      </c>
      <c r="H99" s="119" t="s">
        <v>1377</v>
      </c>
      <c r="I99" s="119" t="s">
        <v>1167</v>
      </c>
      <c r="J99" s="119" t="s">
        <v>1542</v>
      </c>
      <c r="K99" s="288" t="s">
        <v>1681</v>
      </c>
      <c r="L99" s="288"/>
      <c r="M99" s="153"/>
      <c r="N99" s="2"/>
      <c r="O99" s="148" t="s">
        <v>1286</v>
      </c>
      <c r="P99" s="146" t="s">
        <v>1851</v>
      </c>
      <c r="Q99" s="150">
        <f t="shared" si="2"/>
        <v>0.5714285714285714</v>
      </c>
      <c r="R99" s="150">
        <f t="shared" si="3"/>
        <v>0.42857142857142855</v>
      </c>
      <c r="S99" s="2"/>
      <c r="T99" s="2"/>
      <c r="U99" s="2"/>
      <c r="V99" s="2"/>
      <c r="W99" s="2"/>
      <c r="X99" s="2"/>
    </row>
    <row r="100" spans="1:24" customFormat="1" x14ac:dyDescent="0.3">
      <c r="A100" s="2"/>
      <c r="B100" s="2"/>
      <c r="C100" s="2"/>
      <c r="D100" s="2"/>
      <c r="E100" s="119" t="s">
        <v>1250</v>
      </c>
      <c r="F100" s="119" t="s">
        <v>1251</v>
      </c>
      <c r="G100" s="119" t="s">
        <v>1234</v>
      </c>
      <c r="H100" s="119" t="s">
        <v>1378</v>
      </c>
      <c r="I100" s="119" t="s">
        <v>1224</v>
      </c>
      <c r="J100" s="119" t="s">
        <v>1542</v>
      </c>
      <c r="K100" s="288"/>
      <c r="L100" s="288"/>
      <c r="M100" s="153"/>
      <c r="N100" s="2"/>
      <c r="O100" s="149" t="s">
        <v>1683</v>
      </c>
      <c r="P100" s="147" t="s">
        <v>1850</v>
      </c>
      <c r="Q100" s="151">
        <f t="shared" si="2"/>
        <v>0.5714285714285714</v>
      </c>
      <c r="R100" s="151">
        <f t="shared" si="3"/>
        <v>0.42857142857142855</v>
      </c>
      <c r="S100" s="2"/>
      <c r="T100" s="2"/>
      <c r="U100" s="2"/>
      <c r="V100" s="2"/>
      <c r="W100" s="2"/>
      <c r="X100" s="2"/>
    </row>
    <row r="101" spans="1:24" customFormat="1" x14ac:dyDescent="0.3">
      <c r="A101" s="2"/>
      <c r="B101" s="2"/>
      <c r="C101" s="2"/>
      <c r="D101" s="2"/>
      <c r="E101" s="119" t="s">
        <v>1194</v>
      </c>
      <c r="F101" s="119" t="s">
        <v>1183</v>
      </c>
      <c r="G101" s="119" t="s">
        <v>1236</v>
      </c>
      <c r="H101" s="119" t="s">
        <v>1423</v>
      </c>
      <c r="I101" s="119" t="s">
        <v>1299</v>
      </c>
      <c r="J101" s="119" t="s">
        <v>1543</v>
      </c>
      <c r="K101" s="119" t="s">
        <v>1157</v>
      </c>
      <c r="L101" s="119" t="s">
        <v>1409</v>
      </c>
      <c r="M101" s="152"/>
      <c r="N101" s="2"/>
      <c r="O101" s="148" t="s">
        <v>1255</v>
      </c>
      <c r="P101" s="146" t="s">
        <v>1850</v>
      </c>
      <c r="Q101" s="150">
        <f t="shared" si="2"/>
        <v>0.55555555555555558</v>
      </c>
      <c r="R101" s="150">
        <f t="shared" si="3"/>
        <v>0.44444444444444442</v>
      </c>
      <c r="S101" s="2"/>
      <c r="T101" s="2"/>
      <c r="U101" s="2"/>
      <c r="V101" s="2"/>
      <c r="W101" s="2"/>
      <c r="X101" s="2"/>
    </row>
    <row r="102" spans="1:24" customFormat="1" x14ac:dyDescent="0.3">
      <c r="A102" s="2"/>
      <c r="B102" s="2"/>
      <c r="C102" s="2"/>
      <c r="D102" s="2"/>
      <c r="E102" s="288" t="s">
        <v>1252</v>
      </c>
      <c r="F102" s="288"/>
      <c r="G102" s="119" t="s">
        <v>1289</v>
      </c>
      <c r="H102" s="119" t="s">
        <v>1315</v>
      </c>
      <c r="I102" s="119" t="s">
        <v>1180</v>
      </c>
      <c r="J102" s="119" t="s">
        <v>1181</v>
      </c>
      <c r="K102" s="119" t="s">
        <v>1234</v>
      </c>
      <c r="L102" s="119" t="s">
        <v>1458</v>
      </c>
      <c r="M102" s="152"/>
      <c r="N102" s="2"/>
      <c r="O102" s="149" t="s">
        <v>1612</v>
      </c>
      <c r="P102" s="147" t="s">
        <v>1850</v>
      </c>
      <c r="Q102" s="151">
        <f t="shared" si="2"/>
        <v>0.55555555555555558</v>
      </c>
      <c r="R102" s="151">
        <f t="shared" si="3"/>
        <v>0.44444444444444442</v>
      </c>
      <c r="S102" s="2"/>
      <c r="T102" s="2"/>
      <c r="U102" s="2"/>
      <c r="V102" s="2"/>
      <c r="W102" s="2"/>
      <c r="X102" s="2"/>
    </row>
    <row r="103" spans="1:24" customFormat="1" x14ac:dyDescent="0.3">
      <c r="A103" s="2"/>
      <c r="B103" s="2"/>
      <c r="C103" s="2"/>
      <c r="D103" s="2"/>
      <c r="E103" s="288"/>
      <c r="F103" s="288"/>
      <c r="G103" s="119" t="s">
        <v>1271</v>
      </c>
      <c r="H103" s="119" t="s">
        <v>1424</v>
      </c>
      <c r="I103" s="119" t="s">
        <v>1186</v>
      </c>
      <c r="J103" s="119" t="s">
        <v>1544</v>
      </c>
      <c r="K103" s="119" t="s">
        <v>1238</v>
      </c>
      <c r="L103" s="119" t="s">
        <v>1682</v>
      </c>
      <c r="M103" s="152"/>
      <c r="N103" s="2"/>
      <c r="O103" s="148" t="s">
        <v>1404</v>
      </c>
      <c r="P103" s="146" t="s">
        <v>1849</v>
      </c>
      <c r="Q103" s="150">
        <f t="shared" si="2"/>
        <v>0.55555555555555558</v>
      </c>
      <c r="R103" s="150">
        <f t="shared" si="3"/>
        <v>0.44444444444444442</v>
      </c>
      <c r="S103" s="2"/>
      <c r="T103" s="2"/>
      <c r="U103" s="2"/>
      <c r="V103" s="2"/>
      <c r="W103" s="2"/>
      <c r="X103" s="2"/>
    </row>
    <row r="104" spans="1:24" customFormat="1" x14ac:dyDescent="0.3">
      <c r="A104" s="2"/>
      <c r="B104" s="2"/>
      <c r="C104" s="2"/>
      <c r="D104" s="2"/>
      <c r="E104" s="119" t="s">
        <v>1157</v>
      </c>
      <c r="F104" s="119" t="s">
        <v>1409</v>
      </c>
      <c r="G104" s="119" t="s">
        <v>1209</v>
      </c>
      <c r="H104" s="119" t="s">
        <v>1425</v>
      </c>
      <c r="I104" s="288" t="s">
        <v>1545</v>
      </c>
      <c r="J104" s="288"/>
      <c r="K104" s="119" t="s">
        <v>1289</v>
      </c>
      <c r="L104" s="119" t="s">
        <v>1315</v>
      </c>
      <c r="M104" s="152"/>
      <c r="N104" s="2"/>
      <c r="O104" s="149" t="s">
        <v>1504</v>
      </c>
      <c r="P104" s="147" t="s">
        <v>1849</v>
      </c>
      <c r="Q104" s="151">
        <f t="shared" si="2"/>
        <v>0.53846153846153844</v>
      </c>
      <c r="R104" s="151">
        <f t="shared" si="3"/>
        <v>0.46153846153846156</v>
      </c>
      <c r="S104" s="2"/>
      <c r="T104" s="2"/>
      <c r="U104" s="2"/>
      <c r="V104" s="2"/>
      <c r="W104" s="2"/>
      <c r="X104" s="2"/>
    </row>
    <row r="105" spans="1:24" customFormat="1" x14ac:dyDescent="0.3">
      <c r="A105" s="2"/>
      <c r="B105" s="2"/>
      <c r="C105" s="2"/>
      <c r="D105" s="2"/>
      <c r="E105" s="119" t="s">
        <v>1193</v>
      </c>
      <c r="F105" s="119" t="s">
        <v>1254</v>
      </c>
      <c r="G105" s="119" t="s">
        <v>1182</v>
      </c>
      <c r="H105" s="119" t="s">
        <v>1211</v>
      </c>
      <c r="I105" s="288"/>
      <c r="J105" s="288"/>
      <c r="K105" s="119" t="s">
        <v>1244</v>
      </c>
      <c r="L105" s="119" t="s">
        <v>1456</v>
      </c>
      <c r="M105" s="152"/>
      <c r="N105" s="2"/>
      <c r="O105" s="148" t="s">
        <v>1358</v>
      </c>
      <c r="P105" s="146" t="s">
        <v>1849</v>
      </c>
      <c r="Q105" s="150">
        <f t="shared" si="2"/>
        <v>0.5</v>
      </c>
      <c r="R105" s="150">
        <f t="shared" si="3"/>
        <v>0.5</v>
      </c>
      <c r="S105" s="2"/>
      <c r="T105" s="2"/>
      <c r="U105" s="2"/>
      <c r="V105" s="2"/>
      <c r="W105" s="2"/>
      <c r="X105" s="2"/>
    </row>
    <row r="106" spans="1:24" customFormat="1" x14ac:dyDescent="0.3">
      <c r="A106" s="2"/>
      <c r="B106" s="2"/>
      <c r="C106" s="2"/>
      <c r="D106" s="2"/>
      <c r="E106" s="119" t="s">
        <v>1203</v>
      </c>
      <c r="F106" s="119" t="s">
        <v>1253</v>
      </c>
      <c r="G106" s="119" t="s">
        <v>1188</v>
      </c>
      <c r="H106" s="119" t="s">
        <v>1365</v>
      </c>
      <c r="I106" s="119" t="s">
        <v>1157</v>
      </c>
      <c r="J106" s="119" t="s">
        <v>1409</v>
      </c>
      <c r="K106" s="288" t="s">
        <v>1683</v>
      </c>
      <c r="L106" s="288"/>
      <c r="M106" s="153"/>
      <c r="N106" s="2"/>
      <c r="O106" s="149" t="s">
        <v>1422</v>
      </c>
      <c r="P106" s="147" t="s">
        <v>1850</v>
      </c>
      <c r="Q106" s="151">
        <f t="shared" si="2"/>
        <v>0.5</v>
      </c>
      <c r="R106" s="151">
        <f t="shared" si="3"/>
        <v>0.5</v>
      </c>
      <c r="S106" s="2"/>
      <c r="T106" s="2"/>
      <c r="U106" s="2"/>
      <c r="V106" s="2"/>
      <c r="W106" s="2"/>
      <c r="X106" s="2"/>
    </row>
    <row r="107" spans="1:24" customFormat="1" x14ac:dyDescent="0.3">
      <c r="A107" s="2"/>
      <c r="B107" s="2"/>
      <c r="C107" s="2"/>
      <c r="D107" s="2"/>
      <c r="E107" s="288" t="s">
        <v>1255</v>
      </c>
      <c r="F107" s="288"/>
      <c r="G107" s="288" t="s">
        <v>1426</v>
      </c>
      <c r="H107" s="288"/>
      <c r="I107" s="119" t="s">
        <v>1198</v>
      </c>
      <c r="J107" s="119" t="s">
        <v>1546</v>
      </c>
      <c r="K107" s="288"/>
      <c r="L107" s="288"/>
      <c r="M107" s="153"/>
      <c r="N107" s="2"/>
      <c r="O107" s="148" t="s">
        <v>1345</v>
      </c>
      <c r="P107" s="146" t="s">
        <v>1849</v>
      </c>
      <c r="Q107" s="150">
        <f t="shared" si="2"/>
        <v>0.5</v>
      </c>
      <c r="R107" s="150">
        <f t="shared" si="3"/>
        <v>0.5</v>
      </c>
      <c r="S107" s="2"/>
      <c r="T107" s="2"/>
      <c r="U107" s="2"/>
      <c r="V107" s="2"/>
      <c r="W107" s="2"/>
      <c r="X107" s="2"/>
    </row>
    <row r="108" spans="1:24" customFormat="1" x14ac:dyDescent="0.3">
      <c r="A108" s="2"/>
      <c r="B108" s="2"/>
      <c r="C108" s="2"/>
      <c r="D108" s="2"/>
      <c r="E108" s="288"/>
      <c r="F108" s="288"/>
      <c r="G108" s="288"/>
      <c r="H108" s="288"/>
      <c r="I108" s="119" t="s">
        <v>1256</v>
      </c>
      <c r="J108" s="119" t="s">
        <v>1506</v>
      </c>
      <c r="K108" s="119" t="s">
        <v>1157</v>
      </c>
      <c r="L108" s="119" t="s">
        <v>1409</v>
      </c>
      <c r="M108" s="152"/>
      <c r="N108" s="2"/>
      <c r="O108" s="149" t="s">
        <v>1705</v>
      </c>
      <c r="P108" s="147" t="s">
        <v>1479</v>
      </c>
      <c r="Q108" s="151">
        <f t="shared" si="2"/>
        <v>0.5</v>
      </c>
      <c r="R108" s="151">
        <f t="shared" si="3"/>
        <v>0.5</v>
      </c>
      <c r="S108" s="2"/>
      <c r="T108" s="2"/>
      <c r="U108" s="2"/>
      <c r="V108" s="2"/>
      <c r="W108" s="2"/>
      <c r="X108" s="2"/>
    </row>
    <row r="109" spans="1:24" customFormat="1" x14ac:dyDescent="0.3">
      <c r="A109" s="2"/>
      <c r="B109" s="2"/>
      <c r="C109" s="2"/>
      <c r="D109" s="2"/>
      <c r="E109" s="119" t="s">
        <v>1157</v>
      </c>
      <c r="F109" s="119" t="s">
        <v>1409</v>
      </c>
      <c r="G109" s="119" t="s">
        <v>1157</v>
      </c>
      <c r="H109" s="119" t="s">
        <v>1409</v>
      </c>
      <c r="I109" s="119" t="s">
        <v>1330</v>
      </c>
      <c r="J109" s="119" t="s">
        <v>1547</v>
      </c>
      <c r="K109" s="119" t="s">
        <v>1419</v>
      </c>
      <c r="L109" s="119" t="s">
        <v>1284</v>
      </c>
      <c r="M109" s="152"/>
      <c r="N109" s="2"/>
      <c r="O109" s="148" t="s">
        <v>1620</v>
      </c>
      <c r="P109" s="146" t="s">
        <v>1851</v>
      </c>
      <c r="Q109" s="150">
        <f t="shared" si="2"/>
        <v>0.5</v>
      </c>
      <c r="R109" s="150">
        <f t="shared" si="3"/>
        <v>0.5</v>
      </c>
      <c r="S109" s="2"/>
      <c r="T109" s="2"/>
      <c r="U109" s="2"/>
      <c r="V109" s="2"/>
      <c r="W109" s="2"/>
      <c r="X109" s="2"/>
    </row>
    <row r="110" spans="1:24" customFormat="1" x14ac:dyDescent="0.3">
      <c r="A110" s="2"/>
      <c r="B110" s="2"/>
      <c r="C110" s="2"/>
      <c r="D110" s="2"/>
      <c r="E110" s="119" t="s">
        <v>1256</v>
      </c>
      <c r="F110" s="119" t="s">
        <v>1257</v>
      </c>
      <c r="G110" s="119" t="s">
        <v>1277</v>
      </c>
      <c r="H110" s="119" t="s">
        <v>1427</v>
      </c>
      <c r="I110" s="119" t="s">
        <v>1216</v>
      </c>
      <c r="J110" s="119" t="s">
        <v>1548</v>
      </c>
      <c r="K110" s="119" t="s">
        <v>1205</v>
      </c>
      <c r="L110" s="119" t="s">
        <v>1523</v>
      </c>
      <c r="M110" s="152"/>
      <c r="N110" s="2"/>
      <c r="O110" s="149" t="s">
        <v>1192</v>
      </c>
      <c r="P110" s="147" t="s">
        <v>1850</v>
      </c>
      <c r="Q110" s="151">
        <f t="shared" si="2"/>
        <v>0.5</v>
      </c>
      <c r="R110" s="151">
        <f t="shared" si="3"/>
        <v>0.5</v>
      </c>
      <c r="S110" s="2"/>
      <c r="T110" s="2"/>
      <c r="U110" s="2"/>
      <c r="V110" s="2"/>
      <c r="W110" s="2"/>
      <c r="X110" s="2"/>
    </row>
    <row r="111" spans="1:24" customFormat="1" x14ac:dyDescent="0.3">
      <c r="A111" s="2"/>
      <c r="B111" s="2"/>
      <c r="C111" s="2"/>
      <c r="D111" s="2"/>
      <c r="E111" s="119" t="s">
        <v>1258</v>
      </c>
      <c r="F111" s="119" t="s">
        <v>1259</v>
      </c>
      <c r="G111" s="119" t="s">
        <v>1180</v>
      </c>
      <c r="H111" s="119" t="s">
        <v>1428</v>
      </c>
      <c r="I111" s="119" t="s">
        <v>1216</v>
      </c>
      <c r="J111" s="119" t="s">
        <v>1549</v>
      </c>
      <c r="K111" s="119" t="s">
        <v>1293</v>
      </c>
      <c r="L111" s="119" t="s">
        <v>1644</v>
      </c>
      <c r="M111" s="152"/>
      <c r="N111" s="2"/>
      <c r="O111" s="148" t="s">
        <v>1218</v>
      </c>
      <c r="P111" s="146" t="s">
        <v>1850</v>
      </c>
      <c r="Q111" s="150">
        <f t="shared" si="2"/>
        <v>0.5</v>
      </c>
      <c r="R111" s="150">
        <f t="shared" si="3"/>
        <v>0.5</v>
      </c>
      <c r="S111" s="2"/>
      <c r="T111" s="2"/>
      <c r="U111" s="2"/>
      <c r="V111" s="2"/>
      <c r="W111" s="2"/>
      <c r="X111" s="2"/>
    </row>
    <row r="112" spans="1:24" customFormat="1" x14ac:dyDescent="0.3">
      <c r="A112" s="2"/>
      <c r="B112" s="2"/>
      <c r="C112" s="2"/>
      <c r="D112" s="2"/>
      <c r="E112" s="119" t="s">
        <v>1224</v>
      </c>
      <c r="F112" s="119" t="s">
        <v>1225</v>
      </c>
      <c r="G112" s="119" t="s">
        <v>1248</v>
      </c>
      <c r="H112" s="119" t="s">
        <v>1429</v>
      </c>
      <c r="I112" s="288" t="s">
        <v>1550</v>
      </c>
      <c r="J112" s="288"/>
      <c r="K112" s="119" t="s">
        <v>1176</v>
      </c>
      <c r="L112" s="119" t="s">
        <v>1684</v>
      </c>
      <c r="M112" s="152"/>
      <c r="N112" s="2"/>
      <c r="O112" s="149" t="s">
        <v>1249</v>
      </c>
      <c r="P112" s="147" t="s">
        <v>1850</v>
      </c>
      <c r="Q112" s="151">
        <f t="shared" si="2"/>
        <v>0.5</v>
      </c>
      <c r="R112" s="151">
        <f t="shared" si="3"/>
        <v>0.5</v>
      </c>
      <c r="S112" s="2"/>
      <c r="T112" s="2"/>
      <c r="U112" s="2"/>
      <c r="V112" s="2"/>
      <c r="W112" s="2"/>
      <c r="X112" s="2"/>
    </row>
    <row r="113" spans="1:24" customFormat="1" x14ac:dyDescent="0.3">
      <c r="A113" s="2"/>
      <c r="B113" s="2"/>
      <c r="C113" s="2"/>
      <c r="D113" s="2"/>
      <c r="E113" s="119" t="s">
        <v>1207</v>
      </c>
      <c r="F113" s="119" t="s">
        <v>1260</v>
      </c>
      <c r="G113" s="288" t="s">
        <v>1430</v>
      </c>
      <c r="H113" s="288"/>
      <c r="I113" s="288"/>
      <c r="J113" s="288"/>
      <c r="K113" s="119" t="s">
        <v>1160</v>
      </c>
      <c r="L113" s="119" t="s">
        <v>1685</v>
      </c>
      <c r="M113" s="152"/>
      <c r="N113" s="2"/>
      <c r="O113" s="148" t="s">
        <v>1355</v>
      </c>
      <c r="P113" s="146" t="s">
        <v>1854</v>
      </c>
      <c r="Q113" s="150">
        <f t="shared" si="2"/>
        <v>0.5</v>
      </c>
      <c r="R113" s="150">
        <f t="shared" si="3"/>
        <v>0.5</v>
      </c>
      <c r="S113" s="2"/>
      <c r="T113" s="2"/>
      <c r="U113" s="2"/>
      <c r="V113" s="2"/>
      <c r="W113" s="2"/>
      <c r="X113" s="2"/>
    </row>
    <row r="114" spans="1:24" customFormat="1" x14ac:dyDescent="0.3">
      <c r="A114" s="2"/>
      <c r="B114" s="2"/>
      <c r="C114" s="2"/>
      <c r="D114" s="2"/>
      <c r="E114" s="119" t="s">
        <v>1172</v>
      </c>
      <c r="F114" s="119" t="s">
        <v>1261</v>
      </c>
      <c r="G114" s="288"/>
      <c r="H114" s="288"/>
      <c r="I114" s="119" t="s">
        <v>1157</v>
      </c>
      <c r="J114" s="119" t="s">
        <v>1409</v>
      </c>
      <c r="K114" s="119" t="s">
        <v>1246</v>
      </c>
      <c r="L114" s="119" t="s">
        <v>1344</v>
      </c>
      <c r="M114" s="152"/>
      <c r="N114" s="2"/>
      <c r="O114" s="149" t="s">
        <v>1374</v>
      </c>
      <c r="P114" s="147" t="s">
        <v>1851</v>
      </c>
      <c r="Q114" s="151">
        <f t="shared" si="2"/>
        <v>0.5</v>
      </c>
      <c r="R114" s="151">
        <f t="shared" si="3"/>
        <v>0.5</v>
      </c>
      <c r="S114" s="2"/>
      <c r="T114" s="2"/>
      <c r="U114" s="2"/>
      <c r="V114" s="2"/>
      <c r="W114" s="2"/>
      <c r="X114" s="2"/>
    </row>
    <row r="115" spans="1:24" customFormat="1" x14ac:dyDescent="0.3">
      <c r="A115" s="2"/>
      <c r="B115" s="2"/>
      <c r="C115" s="2"/>
      <c r="D115" s="2"/>
      <c r="E115" s="119" t="s">
        <v>1176</v>
      </c>
      <c r="F115" s="119" t="s">
        <v>1262</v>
      </c>
      <c r="G115" s="119" t="s">
        <v>1157</v>
      </c>
      <c r="H115" s="119" t="s">
        <v>1409</v>
      </c>
      <c r="I115" s="119" t="s">
        <v>1219</v>
      </c>
      <c r="J115" s="119" t="s">
        <v>1551</v>
      </c>
      <c r="K115" s="119" t="s">
        <v>1322</v>
      </c>
      <c r="L115" s="119" t="s">
        <v>1468</v>
      </c>
      <c r="M115" s="152"/>
      <c r="N115" s="2"/>
      <c r="O115" s="148" t="s">
        <v>1430</v>
      </c>
      <c r="P115" s="146" t="s">
        <v>1850</v>
      </c>
      <c r="Q115" s="150">
        <f t="shared" si="2"/>
        <v>0.5</v>
      </c>
      <c r="R115" s="150">
        <f t="shared" si="3"/>
        <v>0.5</v>
      </c>
      <c r="S115" s="2"/>
      <c r="T115" s="2"/>
      <c r="U115" s="2"/>
      <c r="V115" s="2"/>
      <c r="W115" s="2"/>
      <c r="X115" s="2"/>
    </row>
    <row r="116" spans="1:24" customFormat="1" x14ac:dyDescent="0.3">
      <c r="A116" s="2"/>
      <c r="B116" s="2"/>
      <c r="C116" s="2"/>
      <c r="D116" s="2"/>
      <c r="E116" s="119" t="s">
        <v>1178</v>
      </c>
      <c r="F116" s="119" t="s">
        <v>1264</v>
      </c>
      <c r="G116" s="119" t="s">
        <v>1240</v>
      </c>
      <c r="H116" s="119" t="s">
        <v>1268</v>
      </c>
      <c r="I116" s="119" t="s">
        <v>1207</v>
      </c>
      <c r="J116" s="119" t="s">
        <v>1552</v>
      </c>
      <c r="K116" s="288" t="s">
        <v>1686</v>
      </c>
      <c r="L116" s="288"/>
      <c r="M116" s="153"/>
      <c r="N116" s="2"/>
      <c r="O116" s="149" t="s">
        <v>1431</v>
      </c>
      <c r="P116" s="147" t="s">
        <v>1850</v>
      </c>
      <c r="Q116" s="151">
        <f t="shared" si="2"/>
        <v>0.5</v>
      </c>
      <c r="R116" s="151">
        <f t="shared" si="3"/>
        <v>0.5</v>
      </c>
      <c r="S116" s="2"/>
      <c r="T116" s="2"/>
      <c r="U116" s="2"/>
      <c r="V116" s="2"/>
      <c r="W116" s="2"/>
      <c r="X116" s="2"/>
    </row>
    <row r="117" spans="1:24" customFormat="1" x14ac:dyDescent="0.3">
      <c r="A117" s="2"/>
      <c r="B117" s="2"/>
      <c r="C117" s="2"/>
      <c r="D117" s="2"/>
      <c r="E117" s="119" t="s">
        <v>1209</v>
      </c>
      <c r="F117" s="119" t="s">
        <v>1265</v>
      </c>
      <c r="G117" s="119" t="s">
        <v>1184</v>
      </c>
      <c r="H117" s="119" t="s">
        <v>1310</v>
      </c>
      <c r="I117" s="119" t="s">
        <v>1182</v>
      </c>
      <c r="J117" s="119" t="s">
        <v>1553</v>
      </c>
      <c r="K117" s="288"/>
      <c r="L117" s="288"/>
      <c r="M117" s="153"/>
      <c r="N117" s="2"/>
      <c r="O117" s="148" t="s">
        <v>1477</v>
      </c>
      <c r="P117" s="146" t="s">
        <v>1849</v>
      </c>
      <c r="Q117" s="150">
        <f t="shared" si="2"/>
        <v>0.5</v>
      </c>
      <c r="R117" s="150">
        <f t="shared" si="3"/>
        <v>0.5</v>
      </c>
      <c r="S117" s="2"/>
      <c r="T117" s="2"/>
      <c r="U117" s="2"/>
      <c r="V117" s="2"/>
      <c r="W117" s="2"/>
      <c r="X117" s="2"/>
    </row>
    <row r="118" spans="1:24" customFormat="1" x14ac:dyDescent="0.3">
      <c r="A118" s="2"/>
      <c r="B118" s="2"/>
      <c r="C118" s="2"/>
      <c r="D118" s="2"/>
      <c r="E118" s="119" t="s">
        <v>1159</v>
      </c>
      <c r="F118" s="119" t="s">
        <v>1334</v>
      </c>
      <c r="G118" s="288" t="s">
        <v>1431</v>
      </c>
      <c r="H118" s="288"/>
      <c r="I118" s="288" t="s">
        <v>1554</v>
      </c>
      <c r="J118" s="288"/>
      <c r="K118" s="119" t="s">
        <v>1157</v>
      </c>
      <c r="L118" s="119" t="s">
        <v>1409</v>
      </c>
      <c r="M118" s="152"/>
      <c r="N118" s="2"/>
      <c r="O118" s="149" t="s">
        <v>1479</v>
      </c>
      <c r="P118" s="147" t="s">
        <v>1479</v>
      </c>
      <c r="Q118" s="151">
        <f t="shared" si="2"/>
        <v>0.5</v>
      </c>
      <c r="R118" s="151">
        <f t="shared" si="3"/>
        <v>0.5</v>
      </c>
      <c r="S118" s="2"/>
      <c r="T118" s="2"/>
      <c r="U118" s="2"/>
      <c r="V118" s="2"/>
      <c r="W118" s="2"/>
      <c r="X118" s="2"/>
    </row>
    <row r="119" spans="1:24" customFormat="1" x14ac:dyDescent="0.3">
      <c r="A119" s="2"/>
      <c r="B119" s="2"/>
      <c r="C119" s="2"/>
      <c r="D119" s="2"/>
      <c r="E119" s="288" t="s">
        <v>1266</v>
      </c>
      <c r="F119" s="288"/>
      <c r="G119" s="288"/>
      <c r="H119" s="288"/>
      <c r="I119" s="288"/>
      <c r="J119" s="288"/>
      <c r="K119" s="119" t="s">
        <v>1167</v>
      </c>
      <c r="L119" s="119" t="s">
        <v>1687</v>
      </c>
      <c r="M119" s="152"/>
      <c r="N119" s="2"/>
      <c r="O119" s="148" t="s">
        <v>1481</v>
      </c>
      <c r="P119" s="146" t="s">
        <v>1849</v>
      </c>
      <c r="Q119" s="150">
        <f t="shared" si="2"/>
        <v>0.5</v>
      </c>
      <c r="R119" s="150">
        <f t="shared" si="3"/>
        <v>0.5</v>
      </c>
      <c r="S119" s="2"/>
      <c r="T119" s="2"/>
      <c r="U119" s="2"/>
      <c r="V119" s="2"/>
      <c r="W119" s="2"/>
      <c r="X119" s="2"/>
    </row>
    <row r="120" spans="1:24" customFormat="1" x14ac:dyDescent="0.3">
      <c r="A120" s="2"/>
      <c r="B120" s="2"/>
      <c r="C120" s="2"/>
      <c r="D120" s="2"/>
      <c r="E120" s="288"/>
      <c r="F120" s="288"/>
      <c r="G120" s="119" t="s">
        <v>1157</v>
      </c>
      <c r="H120" s="119" t="s">
        <v>1409</v>
      </c>
      <c r="I120" s="119" t="s">
        <v>1157</v>
      </c>
      <c r="J120" s="119" t="s">
        <v>1409</v>
      </c>
      <c r="K120" s="119" t="s">
        <v>1224</v>
      </c>
      <c r="L120" s="119" t="s">
        <v>1421</v>
      </c>
      <c r="M120" s="152"/>
      <c r="N120" s="2"/>
      <c r="O120" s="149" t="s">
        <v>1499</v>
      </c>
      <c r="P120" s="147" t="s">
        <v>1850</v>
      </c>
      <c r="Q120" s="151">
        <f t="shared" si="2"/>
        <v>0.5</v>
      </c>
      <c r="R120" s="151">
        <f t="shared" si="3"/>
        <v>0.5</v>
      </c>
      <c r="S120" s="2"/>
      <c r="T120" s="2"/>
      <c r="U120" s="2"/>
      <c r="V120" s="2"/>
      <c r="W120" s="2"/>
      <c r="X120" s="2"/>
    </row>
    <row r="121" spans="1:24" customFormat="1" x14ac:dyDescent="0.3">
      <c r="A121" s="2"/>
      <c r="B121" s="2"/>
      <c r="C121" s="2"/>
      <c r="D121" s="2"/>
      <c r="E121" s="119" t="s">
        <v>1157</v>
      </c>
      <c r="F121" s="119" t="s">
        <v>1409</v>
      </c>
      <c r="G121" s="119" t="s">
        <v>1180</v>
      </c>
      <c r="H121" s="119" t="s">
        <v>1432</v>
      </c>
      <c r="I121" s="119" t="s">
        <v>1240</v>
      </c>
      <c r="J121" s="119" t="s">
        <v>1555</v>
      </c>
      <c r="K121" s="119" t="s">
        <v>1411</v>
      </c>
      <c r="L121" s="119" t="s">
        <v>1688</v>
      </c>
      <c r="M121" s="152"/>
      <c r="N121" s="2"/>
      <c r="O121" s="148" t="s">
        <v>1594</v>
      </c>
      <c r="P121" s="146" t="s">
        <v>1849</v>
      </c>
      <c r="Q121" s="150">
        <f t="shared" si="2"/>
        <v>0.5</v>
      </c>
      <c r="R121" s="150">
        <f t="shared" si="3"/>
        <v>0.5</v>
      </c>
      <c r="S121" s="2"/>
      <c r="T121" s="2"/>
      <c r="U121" s="2"/>
      <c r="V121" s="2"/>
      <c r="W121" s="2"/>
      <c r="X121" s="2"/>
    </row>
    <row r="122" spans="1:24" customFormat="1" x14ac:dyDescent="0.3">
      <c r="A122" s="2"/>
      <c r="B122" s="2"/>
      <c r="C122" s="2"/>
      <c r="D122" s="2"/>
      <c r="E122" s="119" t="s">
        <v>1234</v>
      </c>
      <c r="F122" s="119" t="s">
        <v>1267</v>
      </c>
      <c r="G122" s="119" t="s">
        <v>1182</v>
      </c>
      <c r="H122" s="119" t="s">
        <v>1272</v>
      </c>
      <c r="I122" s="119" t="s">
        <v>1419</v>
      </c>
      <c r="J122" s="119" t="s">
        <v>1420</v>
      </c>
      <c r="K122" s="119" t="s">
        <v>1176</v>
      </c>
      <c r="L122" s="119" t="s">
        <v>1262</v>
      </c>
      <c r="M122" s="152"/>
      <c r="N122" s="2"/>
      <c r="O122" s="149" t="s">
        <v>1610</v>
      </c>
      <c r="P122" s="147" t="s">
        <v>1851</v>
      </c>
      <c r="Q122" s="151">
        <f t="shared" si="2"/>
        <v>0.5</v>
      </c>
      <c r="R122" s="151">
        <f t="shared" si="3"/>
        <v>0.5</v>
      </c>
      <c r="S122" s="2"/>
      <c r="T122" s="2"/>
      <c r="U122" s="2"/>
      <c r="V122" s="2"/>
      <c r="W122" s="2"/>
      <c r="X122" s="2"/>
    </row>
    <row r="123" spans="1:24" customFormat="1" x14ac:dyDescent="0.3">
      <c r="A123" s="2"/>
      <c r="B123" s="2"/>
      <c r="C123" s="2"/>
      <c r="D123" s="2"/>
      <c r="E123" s="119" t="s">
        <v>1250</v>
      </c>
      <c r="F123" s="119" t="s">
        <v>1251</v>
      </c>
      <c r="G123" s="288" t="s">
        <v>1433</v>
      </c>
      <c r="H123" s="288"/>
      <c r="I123" s="119" t="s">
        <v>1271</v>
      </c>
      <c r="J123" s="119" t="s">
        <v>1556</v>
      </c>
      <c r="K123" s="119" t="s">
        <v>1188</v>
      </c>
      <c r="L123" s="119" t="s">
        <v>1689</v>
      </c>
      <c r="M123" s="152"/>
      <c r="N123" s="2"/>
      <c r="O123" s="148" t="s">
        <v>1724</v>
      </c>
      <c r="P123" s="146" t="s">
        <v>1849</v>
      </c>
      <c r="Q123" s="150">
        <f t="shared" si="2"/>
        <v>0.5</v>
      </c>
      <c r="R123" s="150">
        <f t="shared" si="3"/>
        <v>0.5</v>
      </c>
      <c r="S123" s="2"/>
      <c r="T123" s="2"/>
      <c r="U123" s="2"/>
      <c r="V123" s="2"/>
      <c r="W123" s="2"/>
      <c r="X123" s="2"/>
    </row>
    <row r="124" spans="1:24" customFormat="1" x14ac:dyDescent="0.3">
      <c r="A124" s="2"/>
      <c r="B124" s="2"/>
      <c r="C124" s="2"/>
      <c r="D124" s="2"/>
      <c r="E124" s="119" t="s">
        <v>1240</v>
      </c>
      <c r="F124" s="119" t="s">
        <v>1268</v>
      </c>
      <c r="G124" s="288"/>
      <c r="H124" s="288"/>
      <c r="I124" s="288" t="s">
        <v>1557</v>
      </c>
      <c r="J124" s="288"/>
      <c r="K124" s="288" t="s">
        <v>1690</v>
      </c>
      <c r="L124" s="288"/>
      <c r="M124" s="153"/>
      <c r="N124" s="2"/>
      <c r="O124" s="149" t="s">
        <v>1744</v>
      </c>
      <c r="P124" s="147" t="s">
        <v>1850</v>
      </c>
      <c r="Q124" s="151">
        <f t="shared" si="2"/>
        <v>0.5</v>
      </c>
      <c r="R124" s="151">
        <f t="shared" si="3"/>
        <v>0.5</v>
      </c>
      <c r="S124" s="2"/>
      <c r="T124" s="2"/>
      <c r="U124" s="2"/>
      <c r="V124" s="2"/>
      <c r="W124" s="2"/>
      <c r="X124" s="2"/>
    </row>
    <row r="125" spans="1:24" customFormat="1" x14ac:dyDescent="0.3">
      <c r="A125" s="2"/>
      <c r="B125" s="2"/>
      <c r="C125" s="2"/>
      <c r="D125" s="2"/>
      <c r="E125" s="119" t="s">
        <v>1200</v>
      </c>
      <c r="F125" s="119" t="s">
        <v>1269</v>
      </c>
      <c r="G125" s="119" t="s">
        <v>1157</v>
      </c>
      <c r="H125" s="119" t="s">
        <v>1409</v>
      </c>
      <c r="I125" s="288"/>
      <c r="J125" s="288"/>
      <c r="K125" s="288"/>
      <c r="L125" s="288"/>
      <c r="M125" s="153"/>
      <c r="N125" s="2"/>
      <c r="O125" s="148" t="s">
        <v>1394</v>
      </c>
      <c r="P125" s="146" t="s">
        <v>1850</v>
      </c>
      <c r="Q125" s="150">
        <f t="shared" si="2"/>
        <v>0.46153846153846156</v>
      </c>
      <c r="R125" s="150">
        <f t="shared" si="3"/>
        <v>0.53846153846153844</v>
      </c>
      <c r="S125" s="2"/>
      <c r="T125" s="2"/>
      <c r="U125" s="2"/>
      <c r="V125" s="2"/>
      <c r="W125" s="2"/>
      <c r="X125" s="2"/>
    </row>
    <row r="126" spans="1:24" customFormat="1" x14ac:dyDescent="0.3">
      <c r="A126" s="2"/>
      <c r="B126" s="2"/>
      <c r="C126" s="2"/>
      <c r="D126" s="2"/>
      <c r="E126" s="119" t="s">
        <v>1158</v>
      </c>
      <c r="F126" s="119" t="s">
        <v>1270</v>
      </c>
      <c r="G126" s="119" t="s">
        <v>1359</v>
      </c>
      <c r="H126" s="119" t="s">
        <v>1384</v>
      </c>
      <c r="I126" s="119" t="s">
        <v>1157</v>
      </c>
      <c r="J126" s="119" t="s">
        <v>1409</v>
      </c>
      <c r="K126" s="119" t="s">
        <v>1157</v>
      </c>
      <c r="L126" s="119" t="s">
        <v>1409</v>
      </c>
      <c r="M126" s="152"/>
      <c r="N126" s="2"/>
      <c r="O126" s="149" t="s">
        <v>1433</v>
      </c>
      <c r="P126" s="147" t="s">
        <v>1849</v>
      </c>
      <c r="Q126" s="151">
        <f t="shared" si="2"/>
        <v>0.45454545454545453</v>
      </c>
      <c r="R126" s="151">
        <f t="shared" si="3"/>
        <v>0.54545454545454541</v>
      </c>
      <c r="S126" s="2"/>
      <c r="T126" s="2"/>
      <c r="U126" s="2"/>
      <c r="V126" s="2"/>
      <c r="W126" s="2"/>
      <c r="X126" s="2"/>
    </row>
    <row r="127" spans="1:24" customFormat="1" x14ac:dyDescent="0.3">
      <c r="A127" s="2"/>
      <c r="B127" s="2"/>
      <c r="C127" s="2"/>
      <c r="D127" s="2"/>
      <c r="E127" s="119" t="s">
        <v>1271</v>
      </c>
      <c r="F127" s="119" t="s">
        <v>1272</v>
      </c>
      <c r="G127" s="119" t="s">
        <v>1201</v>
      </c>
      <c r="H127" s="119" t="s">
        <v>1434</v>
      </c>
      <c r="I127" s="119" t="s">
        <v>1275</v>
      </c>
      <c r="J127" s="119" t="s">
        <v>1558</v>
      </c>
      <c r="K127" s="119" t="s">
        <v>1280</v>
      </c>
      <c r="L127" s="119" t="s">
        <v>1691</v>
      </c>
      <c r="M127" s="152"/>
      <c r="N127" s="2"/>
      <c r="O127" s="148" t="s">
        <v>1448</v>
      </c>
      <c r="P127" s="146" t="s">
        <v>1850</v>
      </c>
      <c r="Q127" s="150">
        <f t="shared" si="2"/>
        <v>0.42857142857142855</v>
      </c>
      <c r="R127" s="150">
        <f t="shared" si="3"/>
        <v>0.5714285714285714</v>
      </c>
      <c r="S127" s="2"/>
      <c r="T127" s="2"/>
      <c r="U127" s="2"/>
      <c r="V127" s="2"/>
      <c r="W127" s="2"/>
      <c r="X127" s="2"/>
    </row>
    <row r="128" spans="1:24" customFormat="1" x14ac:dyDescent="0.3">
      <c r="A128" s="2"/>
      <c r="B128" s="2"/>
      <c r="C128" s="2"/>
      <c r="D128" s="2"/>
      <c r="E128" s="119" t="s">
        <v>1190</v>
      </c>
      <c r="F128" s="119" t="s">
        <v>1273</v>
      </c>
      <c r="G128" s="119" t="s">
        <v>1256</v>
      </c>
      <c r="H128" s="119" t="s">
        <v>1303</v>
      </c>
      <c r="I128" s="119" t="s">
        <v>1289</v>
      </c>
      <c r="J128" s="119" t="s">
        <v>1239</v>
      </c>
      <c r="K128" s="119" t="s">
        <v>1158</v>
      </c>
      <c r="L128" s="119" t="s">
        <v>1692</v>
      </c>
      <c r="M128" s="152"/>
      <c r="N128" s="2"/>
      <c r="O128" s="149" t="s">
        <v>1597</v>
      </c>
      <c r="P128" s="147" t="s">
        <v>1850</v>
      </c>
      <c r="Q128" s="151">
        <f t="shared" si="2"/>
        <v>0.4</v>
      </c>
      <c r="R128" s="151">
        <f t="shared" si="3"/>
        <v>0.6</v>
      </c>
      <c r="S128" s="2"/>
      <c r="T128" s="2"/>
      <c r="U128" s="2"/>
      <c r="V128" s="2"/>
      <c r="W128" s="2"/>
      <c r="X128" s="2"/>
    </row>
    <row r="129" spans="1:24" customFormat="1" x14ac:dyDescent="0.3">
      <c r="A129" s="2"/>
      <c r="B129" s="2"/>
      <c r="C129" s="2"/>
      <c r="D129" s="2"/>
      <c r="E129" s="288" t="s">
        <v>1274</v>
      </c>
      <c r="F129" s="288"/>
      <c r="G129" s="119" t="s">
        <v>1291</v>
      </c>
      <c r="H129" s="119" t="s">
        <v>1435</v>
      </c>
      <c r="I129" s="119" t="s">
        <v>1240</v>
      </c>
      <c r="J129" s="119" t="s">
        <v>1559</v>
      </c>
      <c r="K129" s="119" t="s">
        <v>1207</v>
      </c>
      <c r="L129" s="119" t="s">
        <v>1595</v>
      </c>
      <c r="M129" s="152"/>
      <c r="N129" s="2"/>
      <c r="O129" s="148" t="s">
        <v>1545</v>
      </c>
      <c r="P129" s="146" t="s">
        <v>1849</v>
      </c>
      <c r="Q129" s="150">
        <f t="shared" si="2"/>
        <v>0.4</v>
      </c>
      <c r="R129" s="150">
        <f t="shared" si="3"/>
        <v>0.6</v>
      </c>
      <c r="S129" s="2"/>
      <c r="T129" s="2"/>
      <c r="U129" s="2"/>
      <c r="V129" s="2"/>
      <c r="W129" s="2"/>
      <c r="X129" s="2"/>
    </row>
    <row r="130" spans="1:24" customFormat="1" x14ac:dyDescent="0.3">
      <c r="A130" s="2"/>
      <c r="B130" s="2"/>
      <c r="C130" s="2"/>
      <c r="D130" s="2"/>
      <c r="E130" s="288"/>
      <c r="F130" s="288"/>
      <c r="G130" s="119" t="s">
        <v>1170</v>
      </c>
      <c r="H130" s="119" t="s">
        <v>1436</v>
      </c>
      <c r="I130" s="119" t="s">
        <v>1277</v>
      </c>
      <c r="J130" s="119" t="s">
        <v>1560</v>
      </c>
      <c r="K130" s="119" t="s">
        <v>1172</v>
      </c>
      <c r="L130" s="119" t="s">
        <v>1509</v>
      </c>
      <c r="M130" s="152"/>
      <c r="N130" s="2"/>
      <c r="O130" s="149" t="s">
        <v>1716</v>
      </c>
      <c r="P130" s="147" t="s">
        <v>1850</v>
      </c>
      <c r="Q130" s="151">
        <f t="shared" si="2"/>
        <v>0.4</v>
      </c>
      <c r="R130" s="151">
        <f t="shared" si="3"/>
        <v>0.6</v>
      </c>
      <c r="S130" s="2"/>
      <c r="T130" s="2"/>
      <c r="U130" s="2"/>
      <c r="V130" s="2"/>
      <c r="W130" s="2"/>
      <c r="X130" s="2"/>
    </row>
    <row r="131" spans="1:24" customFormat="1" x14ac:dyDescent="0.3">
      <c r="A131" s="2"/>
      <c r="B131" s="2"/>
      <c r="C131" s="2"/>
      <c r="D131" s="2"/>
      <c r="E131" s="119" t="s">
        <v>1157</v>
      </c>
      <c r="F131" s="119" t="s">
        <v>1409</v>
      </c>
      <c r="G131" s="119" t="s">
        <v>1338</v>
      </c>
      <c r="H131" s="119" t="s">
        <v>1437</v>
      </c>
      <c r="I131" s="119" t="s">
        <v>1419</v>
      </c>
      <c r="J131" s="119" t="s">
        <v>1561</v>
      </c>
      <c r="K131" s="288" t="s">
        <v>1693</v>
      </c>
      <c r="L131" s="288"/>
      <c r="M131" s="153"/>
      <c r="N131" s="2"/>
      <c r="O131" s="148" t="s">
        <v>1335</v>
      </c>
      <c r="P131" s="146" t="s">
        <v>1850</v>
      </c>
      <c r="Q131" s="150">
        <f t="shared" si="2"/>
        <v>0.375</v>
      </c>
      <c r="R131" s="150">
        <f t="shared" si="3"/>
        <v>0.625</v>
      </c>
      <c r="S131" s="2"/>
      <c r="T131" s="2"/>
      <c r="U131" s="2"/>
      <c r="V131" s="2"/>
      <c r="W131" s="2"/>
      <c r="X131" s="2"/>
    </row>
    <row r="132" spans="1:24" customFormat="1" x14ac:dyDescent="0.3">
      <c r="A132" s="2"/>
      <c r="B132" s="2"/>
      <c r="C132" s="2"/>
      <c r="D132" s="2"/>
      <c r="E132" s="119" t="s">
        <v>1275</v>
      </c>
      <c r="F132" s="119" t="s">
        <v>1276</v>
      </c>
      <c r="G132" s="119" t="s">
        <v>1271</v>
      </c>
      <c r="H132" s="119" t="s">
        <v>1438</v>
      </c>
      <c r="I132" s="119" t="s">
        <v>1200</v>
      </c>
      <c r="J132" s="119" t="s">
        <v>1562</v>
      </c>
      <c r="K132" s="288"/>
      <c r="L132" s="288"/>
      <c r="M132" s="153"/>
      <c r="N132" s="2"/>
      <c r="O132" s="149" t="s">
        <v>1557</v>
      </c>
      <c r="P132" s="147" t="s">
        <v>1852</v>
      </c>
      <c r="Q132" s="151">
        <f t="shared" si="2"/>
        <v>0.33333333333333331</v>
      </c>
      <c r="R132" s="151">
        <f t="shared" si="3"/>
        <v>0.66666666666666663</v>
      </c>
      <c r="S132" s="2"/>
      <c r="T132" s="2"/>
      <c r="U132" s="2"/>
      <c r="V132" s="2"/>
      <c r="W132" s="2"/>
      <c r="X132" s="2"/>
    </row>
    <row r="133" spans="1:24" customFormat="1" x14ac:dyDescent="0.3">
      <c r="A133" s="2"/>
      <c r="B133" s="2"/>
      <c r="C133" s="2"/>
      <c r="D133" s="2"/>
      <c r="E133" s="119" t="s">
        <v>1277</v>
      </c>
      <c r="F133" s="119" t="s">
        <v>1278</v>
      </c>
      <c r="G133" s="119" t="s">
        <v>1182</v>
      </c>
      <c r="H133" s="119" t="s">
        <v>1195</v>
      </c>
      <c r="I133" s="119" t="s">
        <v>1203</v>
      </c>
      <c r="J133" s="119" t="s">
        <v>1563</v>
      </c>
      <c r="K133" s="119" t="s">
        <v>1157</v>
      </c>
      <c r="L133" s="119" t="s">
        <v>1409</v>
      </c>
      <c r="M133" s="152"/>
      <c r="N133" s="2"/>
      <c r="O133" s="148" t="s">
        <v>1672</v>
      </c>
      <c r="P133" s="146" t="s">
        <v>1852</v>
      </c>
      <c r="Q133" s="150">
        <f t="shared" si="2"/>
        <v>0.33333333333333331</v>
      </c>
      <c r="R133" s="150">
        <f t="shared" si="3"/>
        <v>0.66666666666666663</v>
      </c>
      <c r="S133" s="2"/>
      <c r="T133" s="2"/>
      <c r="U133" s="2"/>
      <c r="V133" s="2"/>
      <c r="W133" s="2"/>
      <c r="X133" s="2"/>
    </row>
    <row r="134" spans="1:24" customFormat="1" x14ac:dyDescent="0.3">
      <c r="A134" s="2"/>
      <c r="B134" s="2"/>
      <c r="C134" s="2"/>
      <c r="D134" s="2"/>
      <c r="E134" s="119" t="s">
        <v>1201</v>
      </c>
      <c r="F134" s="119" t="s">
        <v>1279</v>
      </c>
      <c r="G134" s="119" t="s">
        <v>1184</v>
      </c>
      <c r="H134" s="119" t="s">
        <v>1408</v>
      </c>
      <c r="I134" s="119" t="s">
        <v>1242</v>
      </c>
      <c r="J134" s="119" t="s">
        <v>1564</v>
      </c>
      <c r="K134" s="119" t="s">
        <v>1289</v>
      </c>
      <c r="L134" s="119" t="s">
        <v>1694</v>
      </c>
      <c r="M134" s="152"/>
      <c r="N134" s="2"/>
      <c r="O134" s="149" t="s">
        <v>1410</v>
      </c>
      <c r="P134" s="147" t="s">
        <v>1849</v>
      </c>
      <c r="Q134" s="151">
        <f t="shared" si="2"/>
        <v>0.33333333333333331</v>
      </c>
      <c r="R134" s="151">
        <f t="shared" si="3"/>
        <v>0.66666666666666663</v>
      </c>
      <c r="S134" s="2"/>
      <c r="T134" s="2"/>
      <c r="U134" s="2"/>
      <c r="V134" s="2"/>
      <c r="W134" s="2"/>
      <c r="X134" s="2"/>
    </row>
    <row r="135" spans="1:24" customFormat="1" x14ac:dyDescent="0.3">
      <c r="A135" s="2"/>
      <c r="B135" s="2"/>
      <c r="C135" s="2"/>
      <c r="D135" s="2"/>
      <c r="E135" s="119" t="s">
        <v>1280</v>
      </c>
      <c r="F135" s="119" t="s">
        <v>1281</v>
      </c>
      <c r="G135" s="119" t="s">
        <v>1160</v>
      </c>
      <c r="H135" s="119" t="s">
        <v>1212</v>
      </c>
      <c r="I135" s="119" t="s">
        <v>1271</v>
      </c>
      <c r="J135" s="119" t="s">
        <v>1565</v>
      </c>
      <c r="K135" s="119" t="s">
        <v>1395</v>
      </c>
      <c r="L135" s="119" t="s">
        <v>1608</v>
      </c>
      <c r="M135" s="152"/>
      <c r="N135" s="2"/>
      <c r="O135" s="148" t="s">
        <v>1222</v>
      </c>
      <c r="P135" s="146" t="s">
        <v>1850</v>
      </c>
      <c r="Q135" s="150">
        <f t="shared" si="2"/>
        <v>0.33333333333333331</v>
      </c>
      <c r="R135" s="150">
        <f t="shared" si="3"/>
        <v>0.66666666666666663</v>
      </c>
      <c r="S135" s="2"/>
      <c r="T135" s="2"/>
      <c r="U135" s="2"/>
      <c r="V135" s="2"/>
      <c r="W135" s="2"/>
      <c r="X135" s="2"/>
    </row>
    <row r="136" spans="1:24" customFormat="1" x14ac:dyDescent="0.3">
      <c r="A136" s="2"/>
      <c r="B136" s="2"/>
      <c r="C136" s="2"/>
      <c r="D136" s="2"/>
      <c r="E136" s="288" t="s">
        <v>1282</v>
      </c>
      <c r="F136" s="288"/>
      <c r="G136" s="119" t="s">
        <v>1322</v>
      </c>
      <c r="H136" s="119" t="s">
        <v>1439</v>
      </c>
      <c r="I136" s="119" t="s">
        <v>1159</v>
      </c>
      <c r="J136" s="119" t="s">
        <v>1566</v>
      </c>
      <c r="K136" s="119" t="s">
        <v>1198</v>
      </c>
      <c r="L136" s="119" t="s">
        <v>1199</v>
      </c>
      <c r="M136" s="152"/>
      <c r="N136" s="2"/>
      <c r="O136" s="149" t="s">
        <v>1341</v>
      </c>
      <c r="P136" s="147" t="s">
        <v>1849</v>
      </c>
      <c r="Q136" s="151">
        <f t="shared" si="2"/>
        <v>0.33333333333333331</v>
      </c>
      <c r="R136" s="151">
        <f t="shared" si="3"/>
        <v>0.66666666666666663</v>
      </c>
      <c r="S136" s="2"/>
      <c r="T136" s="2"/>
      <c r="U136" s="2"/>
      <c r="V136" s="2"/>
      <c r="W136" s="2"/>
      <c r="X136" s="2"/>
    </row>
    <row r="137" spans="1:24" customFormat="1" x14ac:dyDescent="0.3">
      <c r="A137" s="2"/>
      <c r="B137" s="2"/>
      <c r="C137" s="2"/>
      <c r="D137" s="2"/>
      <c r="E137" s="288"/>
      <c r="F137" s="288"/>
      <c r="G137" s="288" t="s">
        <v>1440</v>
      </c>
      <c r="H137" s="288"/>
      <c r="I137" s="119" t="s">
        <v>1320</v>
      </c>
      <c r="J137" s="119" t="s">
        <v>1567</v>
      </c>
      <c r="K137" s="119" t="s">
        <v>1359</v>
      </c>
      <c r="L137" s="119" t="s">
        <v>1476</v>
      </c>
      <c r="M137" s="152"/>
      <c r="N137" s="2"/>
      <c r="O137" s="148" t="s">
        <v>1390</v>
      </c>
      <c r="P137" s="146" t="s">
        <v>1849</v>
      </c>
      <c r="Q137" s="150">
        <f t="shared" si="2"/>
        <v>0.33333333333333331</v>
      </c>
      <c r="R137" s="150">
        <f t="shared" si="3"/>
        <v>0.66666666666666663</v>
      </c>
      <c r="S137" s="2"/>
      <c r="T137" s="2"/>
      <c r="U137" s="2"/>
      <c r="V137" s="2"/>
      <c r="W137" s="2"/>
      <c r="X137" s="2"/>
    </row>
    <row r="138" spans="1:24" customFormat="1" x14ac:dyDescent="0.3">
      <c r="A138" s="2"/>
      <c r="B138" s="2"/>
      <c r="C138" s="2"/>
      <c r="D138" s="2"/>
      <c r="E138" s="119" t="s">
        <v>1157</v>
      </c>
      <c r="F138" s="119" t="s">
        <v>1409</v>
      </c>
      <c r="G138" s="288"/>
      <c r="H138" s="288"/>
      <c r="I138" s="119" t="s">
        <v>1246</v>
      </c>
      <c r="J138" s="119" t="s">
        <v>1568</v>
      </c>
      <c r="K138" s="119" t="s">
        <v>1193</v>
      </c>
      <c r="L138" s="119" t="s">
        <v>1315</v>
      </c>
      <c r="M138" s="152"/>
      <c r="N138" s="2"/>
      <c r="O138" s="149" t="s">
        <v>1607</v>
      </c>
      <c r="P138" s="147" t="s">
        <v>1851</v>
      </c>
      <c r="Q138" s="151">
        <f t="shared" si="2"/>
        <v>0.33333333333333331</v>
      </c>
      <c r="R138" s="151">
        <f t="shared" si="3"/>
        <v>0.66666666666666663</v>
      </c>
      <c r="S138" s="2"/>
      <c r="T138" s="2"/>
      <c r="U138" s="2"/>
      <c r="V138" s="2"/>
      <c r="W138" s="2"/>
      <c r="X138" s="2"/>
    </row>
    <row r="139" spans="1:24" customFormat="1" x14ac:dyDescent="0.3">
      <c r="A139" s="2"/>
      <c r="B139" s="2"/>
      <c r="C139" s="2"/>
      <c r="D139" s="2"/>
      <c r="E139" s="119" t="s">
        <v>1283</v>
      </c>
      <c r="F139" s="119" t="s">
        <v>1284</v>
      </c>
      <c r="G139" s="119" t="s">
        <v>1157</v>
      </c>
      <c r="H139" s="119" t="s">
        <v>1409</v>
      </c>
      <c r="I139" s="288" t="s">
        <v>1569</v>
      </c>
      <c r="J139" s="288"/>
      <c r="K139" s="119" t="s">
        <v>1203</v>
      </c>
      <c r="L139" s="119" t="s">
        <v>1502</v>
      </c>
      <c r="M139" s="152"/>
      <c r="N139" s="2"/>
      <c r="O139" s="148" t="s">
        <v>1642</v>
      </c>
      <c r="P139" s="146" t="s">
        <v>1849</v>
      </c>
      <c r="Q139" s="150">
        <f t="shared" si="2"/>
        <v>0.33333333333333331</v>
      </c>
      <c r="R139" s="150">
        <f t="shared" si="3"/>
        <v>0.66666666666666663</v>
      </c>
      <c r="S139" s="2"/>
      <c r="T139" s="2"/>
      <c r="U139" s="2"/>
      <c r="V139" s="2"/>
      <c r="W139" s="2"/>
      <c r="X139" s="2"/>
    </row>
    <row r="140" spans="1:24" customFormat="1" x14ac:dyDescent="0.3">
      <c r="A140" s="2"/>
      <c r="B140" s="2"/>
      <c r="C140" s="2"/>
      <c r="D140" s="2"/>
      <c r="E140" s="119" t="s">
        <v>1201</v>
      </c>
      <c r="F140" s="119" t="s">
        <v>1285</v>
      </c>
      <c r="G140" s="119" t="s">
        <v>1182</v>
      </c>
      <c r="H140" s="119" t="s">
        <v>1211</v>
      </c>
      <c r="I140" s="288"/>
      <c r="J140" s="288"/>
      <c r="K140" s="119" t="s">
        <v>1258</v>
      </c>
      <c r="L140" s="119" t="s">
        <v>1602</v>
      </c>
      <c r="M140" s="152"/>
      <c r="N140" s="2"/>
      <c r="O140" s="149" t="s">
        <v>1454</v>
      </c>
      <c r="P140" s="147" t="s">
        <v>1849</v>
      </c>
      <c r="Q140" s="151">
        <f t="shared" si="2"/>
        <v>0.33333333333333331</v>
      </c>
      <c r="R140" s="151">
        <f t="shared" si="3"/>
        <v>0.66666666666666663</v>
      </c>
      <c r="S140" s="2"/>
      <c r="T140" s="2"/>
      <c r="U140" s="2"/>
      <c r="V140" s="2"/>
      <c r="W140" s="2"/>
      <c r="X140" s="2"/>
    </row>
    <row r="141" spans="1:24" customFormat="1" x14ac:dyDescent="0.3">
      <c r="A141" s="2"/>
      <c r="B141" s="2"/>
      <c r="C141" s="2"/>
      <c r="D141" s="2"/>
      <c r="E141" s="288" t="s">
        <v>1286</v>
      </c>
      <c r="F141" s="288"/>
      <c r="G141" s="119" t="s">
        <v>1188</v>
      </c>
      <c r="H141" s="119" t="s">
        <v>1441</v>
      </c>
      <c r="I141" s="119" t="s">
        <v>1157</v>
      </c>
      <c r="J141" s="119" t="s">
        <v>1409</v>
      </c>
      <c r="K141" s="119" t="s">
        <v>1170</v>
      </c>
      <c r="L141" s="119" t="s">
        <v>1298</v>
      </c>
      <c r="M141" s="152"/>
      <c r="N141" s="2"/>
      <c r="O141" s="148" t="s">
        <v>1740</v>
      </c>
      <c r="P141" s="146" t="s">
        <v>1850</v>
      </c>
      <c r="Q141" s="150">
        <f t="shared" si="2"/>
        <v>0.33333333333333331</v>
      </c>
      <c r="R141" s="150">
        <f t="shared" si="3"/>
        <v>0.66666666666666663</v>
      </c>
      <c r="S141" s="2"/>
      <c r="T141" s="2"/>
      <c r="U141" s="2"/>
      <c r="V141" s="2"/>
      <c r="W141" s="2"/>
      <c r="X141" s="2"/>
    </row>
    <row r="142" spans="1:24" customFormat="1" x14ac:dyDescent="0.3">
      <c r="A142" s="2"/>
      <c r="B142" s="2"/>
      <c r="C142" s="2"/>
      <c r="D142" s="2"/>
      <c r="E142" s="288"/>
      <c r="F142" s="288"/>
      <c r="G142" s="119" t="s">
        <v>1248</v>
      </c>
      <c r="H142" s="119" t="s">
        <v>1442</v>
      </c>
      <c r="I142" s="119" t="s">
        <v>1250</v>
      </c>
      <c r="J142" s="119" t="s">
        <v>1570</v>
      </c>
      <c r="K142" s="119" t="s">
        <v>1293</v>
      </c>
      <c r="L142" s="119" t="s">
        <v>1695</v>
      </c>
      <c r="M142" s="152"/>
      <c r="N142" s="2"/>
      <c r="O142" s="149" t="s">
        <v>1734</v>
      </c>
      <c r="P142" s="147" t="s">
        <v>1850</v>
      </c>
      <c r="Q142" s="151">
        <f t="shared" si="2"/>
        <v>0.2857142857142857</v>
      </c>
      <c r="R142" s="151">
        <f t="shared" si="3"/>
        <v>0.7142857142857143</v>
      </c>
      <c r="S142" s="2"/>
      <c r="T142" s="2"/>
      <c r="U142" s="2"/>
      <c r="V142" s="2"/>
      <c r="W142" s="2"/>
      <c r="X142" s="2"/>
    </row>
    <row r="143" spans="1:24" customFormat="1" x14ac:dyDescent="0.3">
      <c r="A143" s="2"/>
      <c r="B143" s="2"/>
      <c r="C143" s="2"/>
      <c r="D143" s="2"/>
      <c r="E143" s="119" t="s">
        <v>1157</v>
      </c>
      <c r="F143" s="119" t="s">
        <v>1409</v>
      </c>
      <c r="G143" s="288" t="s">
        <v>1443</v>
      </c>
      <c r="H143" s="288"/>
      <c r="I143" s="119" t="s">
        <v>1419</v>
      </c>
      <c r="J143" s="119" t="s">
        <v>1571</v>
      </c>
      <c r="K143" s="119" t="s">
        <v>1190</v>
      </c>
      <c r="L143" s="119" t="s">
        <v>1512</v>
      </c>
      <c r="M143" s="152"/>
      <c r="N143" s="2"/>
      <c r="O143" s="148" t="s">
        <v>1623</v>
      </c>
      <c r="P143" s="146" t="s">
        <v>1850</v>
      </c>
      <c r="Q143" s="150">
        <f t="shared" si="2"/>
        <v>0.27272727272727271</v>
      </c>
      <c r="R143" s="150">
        <f t="shared" si="3"/>
        <v>0.72727272727272729</v>
      </c>
      <c r="S143" s="2"/>
      <c r="T143" s="2"/>
      <c r="U143" s="2"/>
      <c r="V143" s="2"/>
      <c r="W143" s="2"/>
      <c r="X143" s="2"/>
    </row>
    <row r="144" spans="1:24" customFormat="1" x14ac:dyDescent="0.3">
      <c r="A144" s="2"/>
      <c r="B144" s="2"/>
      <c r="C144" s="2"/>
      <c r="D144" s="2"/>
      <c r="E144" s="119" t="s">
        <v>1287</v>
      </c>
      <c r="F144" s="119" t="s">
        <v>1278</v>
      </c>
      <c r="G144" s="288"/>
      <c r="H144" s="288"/>
      <c r="I144" s="119" t="s">
        <v>1359</v>
      </c>
      <c r="J144" s="119" t="s">
        <v>1572</v>
      </c>
      <c r="K144" s="119" t="s">
        <v>1322</v>
      </c>
      <c r="L144" s="119" t="s">
        <v>1468</v>
      </c>
      <c r="M144" s="152"/>
      <c r="N144" s="2"/>
      <c r="O144" s="149" t="s">
        <v>1726</v>
      </c>
      <c r="P144" s="147" t="s">
        <v>1850</v>
      </c>
      <c r="Q144" s="151">
        <f t="shared" si="2"/>
        <v>0.27272727272727271</v>
      </c>
      <c r="R144" s="151">
        <f t="shared" si="3"/>
        <v>0.72727272727272729</v>
      </c>
      <c r="S144" s="2"/>
      <c r="T144" s="2"/>
      <c r="U144" s="2"/>
      <c r="V144" s="2"/>
      <c r="W144" s="2"/>
      <c r="X144" s="2"/>
    </row>
    <row r="145" spans="1:24" customFormat="1" x14ac:dyDescent="0.3">
      <c r="A145" s="2"/>
      <c r="B145" s="2"/>
      <c r="C145" s="2"/>
      <c r="D145" s="2"/>
      <c r="E145" s="119" t="s">
        <v>1275</v>
      </c>
      <c r="F145" s="119" t="s">
        <v>1288</v>
      </c>
      <c r="G145" s="119" t="s">
        <v>1157</v>
      </c>
      <c r="H145" s="119" t="s">
        <v>1409</v>
      </c>
      <c r="I145" s="119" t="s">
        <v>1160</v>
      </c>
      <c r="J145" s="119" t="s">
        <v>1573</v>
      </c>
      <c r="K145" s="288" t="s">
        <v>1696</v>
      </c>
      <c r="L145" s="288"/>
      <c r="M145" s="153"/>
      <c r="N145" s="2"/>
      <c r="O145" s="148" t="s">
        <v>1538</v>
      </c>
      <c r="P145" s="146" t="s">
        <v>1850</v>
      </c>
      <c r="Q145" s="150">
        <f t="shared" si="2"/>
        <v>0.25</v>
      </c>
      <c r="R145" s="150">
        <f t="shared" si="3"/>
        <v>0.75</v>
      </c>
      <c r="S145" s="2"/>
      <c r="T145" s="2"/>
      <c r="U145" s="2"/>
      <c r="V145" s="2"/>
      <c r="W145" s="2"/>
      <c r="X145" s="2"/>
    </row>
    <row r="146" spans="1:24" customFormat="1" x14ac:dyDescent="0.3">
      <c r="A146" s="2"/>
      <c r="B146" s="2"/>
      <c r="C146" s="2"/>
      <c r="D146" s="2"/>
      <c r="E146" s="119" t="s">
        <v>1289</v>
      </c>
      <c r="F146" s="119" t="s">
        <v>1290</v>
      </c>
      <c r="G146" s="119" t="s">
        <v>1194</v>
      </c>
      <c r="H146" s="119" t="s">
        <v>1444</v>
      </c>
      <c r="I146" s="119" t="s">
        <v>1216</v>
      </c>
      <c r="J146" s="119" t="s">
        <v>1429</v>
      </c>
      <c r="K146" s="288"/>
      <c r="L146" s="288"/>
      <c r="M146" s="153"/>
      <c r="N146" s="2"/>
      <c r="O146" s="149" t="s">
        <v>1746</v>
      </c>
      <c r="P146" s="147" t="s">
        <v>1849</v>
      </c>
      <c r="Q146" s="151">
        <f t="shared" si="2"/>
        <v>0.25</v>
      </c>
      <c r="R146" s="151">
        <f t="shared" si="3"/>
        <v>0.75</v>
      </c>
      <c r="S146" s="2"/>
      <c r="T146" s="2"/>
      <c r="U146" s="2"/>
      <c r="V146" s="2"/>
      <c r="W146" s="2"/>
      <c r="X146" s="2"/>
    </row>
    <row r="147" spans="1:24" customFormat="1" x14ac:dyDescent="0.3">
      <c r="A147" s="2"/>
      <c r="B147" s="2"/>
      <c r="C147" s="2"/>
      <c r="D147" s="2"/>
      <c r="E147" s="119" t="s">
        <v>1291</v>
      </c>
      <c r="F147" s="119" t="s">
        <v>1369</v>
      </c>
      <c r="G147" s="119" t="s">
        <v>1188</v>
      </c>
      <c r="H147" s="119" t="s">
        <v>1189</v>
      </c>
      <c r="I147" s="288" t="s">
        <v>1574</v>
      </c>
      <c r="J147" s="288"/>
      <c r="K147" s="119" t="s">
        <v>1157</v>
      </c>
      <c r="L147" s="119" t="s">
        <v>1409</v>
      </c>
      <c r="M147" s="152"/>
      <c r="N147" s="2"/>
      <c r="O147" s="148" t="s">
        <v>1376</v>
      </c>
      <c r="P147" s="146" t="s">
        <v>1852</v>
      </c>
      <c r="Q147" s="150">
        <f t="shared" si="2"/>
        <v>0.2</v>
      </c>
      <c r="R147" s="150">
        <f t="shared" si="3"/>
        <v>0.8</v>
      </c>
      <c r="S147" s="2"/>
      <c r="T147" s="2"/>
      <c r="U147" s="2"/>
      <c r="V147" s="2"/>
      <c r="W147" s="2"/>
      <c r="X147" s="2"/>
    </row>
    <row r="148" spans="1:24" customFormat="1" x14ac:dyDescent="0.3">
      <c r="A148" s="2"/>
      <c r="B148" s="2"/>
      <c r="C148" s="2"/>
      <c r="D148" s="2"/>
      <c r="E148" s="119" t="s">
        <v>1165</v>
      </c>
      <c r="F148" s="119" t="s">
        <v>1292</v>
      </c>
      <c r="G148" s="288" t="s">
        <v>1445</v>
      </c>
      <c r="H148" s="288"/>
      <c r="I148" s="288"/>
      <c r="J148" s="288"/>
      <c r="K148" s="119" t="s">
        <v>1287</v>
      </c>
      <c r="L148" s="119" t="s">
        <v>1697</v>
      </c>
      <c r="M148" s="152"/>
      <c r="N148" s="2"/>
      <c r="O148" s="149" t="s">
        <v>1701</v>
      </c>
      <c r="P148" s="147" t="s">
        <v>1850</v>
      </c>
      <c r="Q148" s="151">
        <f t="shared" si="2"/>
        <v>0.2</v>
      </c>
      <c r="R148" s="151">
        <f t="shared" si="3"/>
        <v>0.8</v>
      </c>
      <c r="S148" s="2"/>
      <c r="T148" s="2"/>
      <c r="U148" s="2"/>
      <c r="V148" s="2"/>
      <c r="W148" s="2"/>
      <c r="X148" s="2"/>
    </row>
    <row r="149" spans="1:24" customFormat="1" x14ac:dyDescent="0.3">
      <c r="A149" s="2"/>
      <c r="B149" s="2"/>
      <c r="C149" s="2"/>
      <c r="D149" s="2"/>
      <c r="E149" s="119" t="s">
        <v>1293</v>
      </c>
      <c r="F149" s="119" t="s">
        <v>1294</v>
      </c>
      <c r="G149" s="288"/>
      <c r="H149" s="288"/>
      <c r="I149" s="119" t="s">
        <v>1157</v>
      </c>
      <c r="J149" s="119" t="s">
        <v>1409</v>
      </c>
      <c r="K149" s="119" t="s">
        <v>1289</v>
      </c>
      <c r="L149" s="119" t="s">
        <v>1315</v>
      </c>
      <c r="M149" s="152"/>
      <c r="N149" s="2"/>
      <c r="O149" s="148" t="s">
        <v>1638</v>
      </c>
      <c r="P149" s="146" t="s">
        <v>1850</v>
      </c>
      <c r="Q149" s="150">
        <f t="shared" si="2"/>
        <v>0</v>
      </c>
      <c r="R149" s="150">
        <f t="shared" si="3"/>
        <v>1</v>
      </c>
      <c r="S149" s="2"/>
      <c r="T149" s="2"/>
      <c r="U149" s="2"/>
      <c r="V149" s="2"/>
      <c r="W149" s="2"/>
      <c r="X149" s="2"/>
    </row>
    <row r="150" spans="1:24" customFormat="1" x14ac:dyDescent="0.3">
      <c r="A150" s="2"/>
      <c r="B150" s="2"/>
      <c r="C150" s="2"/>
      <c r="D150" s="2"/>
      <c r="E150" s="119" t="s">
        <v>1295</v>
      </c>
      <c r="F150" s="119" t="s">
        <v>1296</v>
      </c>
      <c r="G150" s="119" t="s">
        <v>1157</v>
      </c>
      <c r="H150" s="119" t="s">
        <v>1409</v>
      </c>
      <c r="I150" s="119" t="s">
        <v>1165</v>
      </c>
      <c r="J150" s="119" t="s">
        <v>1575</v>
      </c>
      <c r="K150" s="119" t="s">
        <v>1203</v>
      </c>
      <c r="L150" s="119" t="s">
        <v>1502</v>
      </c>
      <c r="M150" s="152"/>
      <c r="N150" s="2"/>
      <c r="O150" s="149" t="s">
        <v>1252</v>
      </c>
      <c r="P150" s="147" t="s">
        <v>1849</v>
      </c>
      <c r="Q150" s="151">
        <f t="shared" si="2"/>
        <v>0</v>
      </c>
      <c r="R150" s="151">
        <f t="shared" si="3"/>
        <v>1</v>
      </c>
      <c r="S150" s="2"/>
      <c r="T150" s="2"/>
      <c r="U150" s="2"/>
      <c r="V150" s="2"/>
      <c r="W150" s="2"/>
      <c r="X150" s="2"/>
    </row>
    <row r="151" spans="1:24" customFormat="1" x14ac:dyDescent="0.3">
      <c r="A151" s="2"/>
      <c r="B151" s="2"/>
      <c r="C151" s="2"/>
      <c r="D151" s="2"/>
      <c r="E151" s="288" t="s">
        <v>1297</v>
      </c>
      <c r="F151" s="288"/>
      <c r="G151" s="119" t="s">
        <v>1238</v>
      </c>
      <c r="H151" s="119" t="s">
        <v>1446</v>
      </c>
      <c r="I151" s="119" t="s">
        <v>1194</v>
      </c>
      <c r="J151" s="119" t="s">
        <v>1576</v>
      </c>
      <c r="K151" s="119" t="s">
        <v>1205</v>
      </c>
      <c r="L151" s="119" t="s">
        <v>1494</v>
      </c>
      <c r="M151" s="152"/>
      <c r="N151" s="2"/>
      <c r="O151" s="148" t="s">
        <v>1282</v>
      </c>
      <c r="P151" s="146" t="s">
        <v>1850</v>
      </c>
      <c r="Q151" s="150">
        <f t="shared" si="2"/>
        <v>0</v>
      </c>
      <c r="R151" s="150">
        <f t="shared" si="3"/>
        <v>1</v>
      </c>
      <c r="S151" s="2"/>
      <c r="T151" s="2"/>
      <c r="U151" s="2"/>
      <c r="V151" s="2"/>
      <c r="W151" s="2"/>
      <c r="X151" s="2"/>
    </row>
    <row r="152" spans="1:24" customFormat="1" x14ac:dyDescent="0.3">
      <c r="A152" s="2"/>
      <c r="B152" s="2"/>
      <c r="C152" s="2"/>
      <c r="D152" s="2"/>
      <c r="E152" s="288"/>
      <c r="F152" s="288"/>
      <c r="G152" s="119" t="s">
        <v>1291</v>
      </c>
      <c r="H152" s="119" t="s">
        <v>1447</v>
      </c>
      <c r="I152" s="119" t="s">
        <v>1182</v>
      </c>
      <c r="J152" s="119" t="s">
        <v>1211</v>
      </c>
      <c r="K152" s="119" t="s">
        <v>1207</v>
      </c>
      <c r="L152" s="119" t="s">
        <v>1698</v>
      </c>
      <c r="M152" s="152"/>
      <c r="N152" s="2"/>
      <c r="O152" s="149" t="s">
        <v>1578</v>
      </c>
      <c r="P152" s="147" t="s">
        <v>1850</v>
      </c>
      <c r="Q152" s="151">
        <f t="shared" si="2"/>
        <v>0</v>
      </c>
      <c r="R152" s="151">
        <f t="shared" si="3"/>
        <v>1</v>
      </c>
      <c r="S152" s="2"/>
      <c r="T152" s="2"/>
      <c r="U152" s="2"/>
      <c r="V152" s="2"/>
      <c r="W152" s="2"/>
      <c r="X152" s="2"/>
    </row>
    <row r="153" spans="1:24" customFormat="1" x14ac:dyDescent="0.3">
      <c r="A153" s="2"/>
      <c r="B153" s="2"/>
      <c r="C153" s="2"/>
      <c r="D153" s="2"/>
      <c r="E153" s="119" t="s">
        <v>1157</v>
      </c>
      <c r="F153" s="119" t="s">
        <v>1409</v>
      </c>
      <c r="G153" s="119" t="s">
        <v>1216</v>
      </c>
      <c r="H153" s="119" t="s">
        <v>1217</v>
      </c>
      <c r="I153" s="119" t="s">
        <v>1159</v>
      </c>
      <c r="J153" s="119" t="s">
        <v>1577</v>
      </c>
      <c r="K153" s="119" t="s">
        <v>1338</v>
      </c>
      <c r="L153" s="119" t="s">
        <v>1437</v>
      </c>
      <c r="M153" s="152"/>
      <c r="N153" s="2"/>
      <c r="O153" s="154" t="s">
        <v>1721</v>
      </c>
      <c r="P153" s="155" t="s">
        <v>1850</v>
      </c>
      <c r="Q153" s="156">
        <f t="shared" si="2"/>
        <v>0</v>
      </c>
      <c r="R153" s="156">
        <f t="shared" si="3"/>
        <v>1</v>
      </c>
      <c r="S153" s="2"/>
      <c r="T153" s="2"/>
      <c r="U153" s="2"/>
      <c r="V153" s="2"/>
      <c r="W153" s="2"/>
      <c r="X153" s="2"/>
    </row>
    <row r="154" spans="1:24" customFormat="1" x14ac:dyDescent="0.3">
      <c r="A154" s="2"/>
      <c r="B154" s="2"/>
      <c r="C154" s="2"/>
      <c r="D154" s="2"/>
      <c r="E154" s="119" t="s">
        <v>1170</v>
      </c>
      <c r="F154" s="119" t="s">
        <v>1298</v>
      </c>
      <c r="G154" s="288" t="s">
        <v>1448</v>
      </c>
      <c r="H154" s="288"/>
      <c r="I154" s="288" t="s">
        <v>1578</v>
      </c>
      <c r="J154" s="288"/>
      <c r="K154" s="119" t="s">
        <v>1186</v>
      </c>
      <c r="L154" s="119" t="s">
        <v>1699</v>
      </c>
      <c r="M154" s="2"/>
      <c r="N154" s="2"/>
      <c r="O154" s="2"/>
      <c r="P154" s="2"/>
      <c r="Q154" s="2"/>
      <c r="R154" s="2"/>
      <c r="S154" s="2"/>
      <c r="T154" s="2"/>
      <c r="U154" s="2"/>
      <c r="V154" s="2"/>
      <c r="W154" s="2"/>
    </row>
    <row r="155" spans="1:24" customFormat="1" x14ac:dyDescent="0.3">
      <c r="A155" s="2"/>
      <c r="B155" s="2"/>
      <c r="C155" s="2"/>
      <c r="D155" s="2"/>
      <c r="E155" s="119" t="s">
        <v>1299</v>
      </c>
      <c r="F155" s="119" t="s">
        <v>1300</v>
      </c>
      <c r="G155" s="288"/>
      <c r="H155" s="288"/>
      <c r="I155" s="288"/>
      <c r="J155" s="288"/>
      <c r="K155" s="119" t="s">
        <v>1188</v>
      </c>
      <c r="L155" s="119" t="s">
        <v>1700</v>
      </c>
      <c r="M155" s="2"/>
      <c r="N155" s="2"/>
      <c r="O155" s="2"/>
      <c r="P155" s="2"/>
      <c r="Q155" s="2"/>
      <c r="R155" s="2"/>
      <c r="S155" s="2"/>
      <c r="T155" s="2"/>
      <c r="U155" s="2"/>
      <c r="V155" s="2"/>
      <c r="W155" s="2"/>
    </row>
    <row r="156" spans="1:24" customFormat="1" x14ac:dyDescent="0.3">
      <c r="A156" s="2"/>
      <c r="B156" s="2"/>
      <c r="C156" s="2"/>
      <c r="D156" s="2"/>
      <c r="E156" s="119" t="s">
        <v>1178</v>
      </c>
      <c r="F156" s="119" t="s">
        <v>1179</v>
      </c>
      <c r="G156" s="119" t="s">
        <v>1157</v>
      </c>
      <c r="H156" s="119" t="s">
        <v>1409</v>
      </c>
      <c r="I156" s="119" t="s">
        <v>1157</v>
      </c>
      <c r="J156" s="119" t="s">
        <v>1409</v>
      </c>
      <c r="K156" s="119" t="s">
        <v>1246</v>
      </c>
      <c r="L156" s="119" t="s">
        <v>1344</v>
      </c>
      <c r="M156" s="2"/>
      <c r="N156" s="2"/>
      <c r="O156" s="2"/>
      <c r="P156" s="2"/>
      <c r="Q156" s="2"/>
      <c r="R156" s="2"/>
      <c r="S156" s="2"/>
      <c r="T156" s="2"/>
      <c r="U156" s="2"/>
      <c r="V156" s="2"/>
      <c r="W156" s="2"/>
    </row>
    <row r="157" spans="1:24" customFormat="1" x14ac:dyDescent="0.3">
      <c r="A157" s="2"/>
      <c r="B157" s="2"/>
      <c r="C157" s="2"/>
      <c r="D157" s="2"/>
      <c r="E157" s="288" t="s">
        <v>1301</v>
      </c>
      <c r="F157" s="288"/>
      <c r="G157" s="119" t="s">
        <v>1258</v>
      </c>
      <c r="H157" s="119" t="s">
        <v>1421</v>
      </c>
      <c r="I157" s="119" t="s">
        <v>1299</v>
      </c>
      <c r="J157" s="119" t="s">
        <v>1579</v>
      </c>
      <c r="K157" s="288" t="s">
        <v>1701</v>
      </c>
      <c r="L157" s="288"/>
      <c r="M157" s="2"/>
      <c r="N157" s="2"/>
      <c r="O157" s="2"/>
      <c r="P157" s="2"/>
      <c r="Q157" s="2"/>
      <c r="R157" s="2"/>
      <c r="S157" s="2"/>
      <c r="T157" s="2"/>
      <c r="U157" s="2"/>
      <c r="V157" s="2"/>
      <c r="W157" s="2"/>
    </row>
    <row r="158" spans="1:24" customFormat="1" x14ac:dyDescent="0.3">
      <c r="A158" s="2"/>
      <c r="B158" s="2"/>
      <c r="C158" s="2"/>
      <c r="D158" s="2"/>
      <c r="E158" s="288"/>
      <c r="F158" s="288"/>
      <c r="G158" s="119" t="s">
        <v>1280</v>
      </c>
      <c r="H158" s="119" t="s">
        <v>1449</v>
      </c>
      <c r="I158" s="119" t="s">
        <v>1209</v>
      </c>
      <c r="J158" s="119" t="s">
        <v>1580</v>
      </c>
      <c r="K158" s="288"/>
      <c r="L158" s="288"/>
      <c r="M158" s="2"/>
      <c r="N158" s="2"/>
      <c r="O158" s="2"/>
      <c r="P158" s="2"/>
      <c r="Q158" s="2"/>
      <c r="R158" s="2"/>
      <c r="S158" s="2"/>
      <c r="T158" s="2"/>
      <c r="U158" s="2"/>
      <c r="V158" s="2"/>
      <c r="W158" s="2"/>
    </row>
    <row r="159" spans="1:24" customFormat="1" x14ac:dyDescent="0.3">
      <c r="A159" s="2"/>
      <c r="B159" s="2"/>
      <c r="C159" s="2"/>
      <c r="D159" s="2"/>
      <c r="E159" s="119" t="s">
        <v>1157</v>
      </c>
      <c r="F159" s="119" t="s">
        <v>1409</v>
      </c>
      <c r="G159" s="119" t="s">
        <v>1170</v>
      </c>
      <c r="H159" s="119" t="s">
        <v>1362</v>
      </c>
      <c r="I159" s="288" t="s">
        <v>1581</v>
      </c>
      <c r="J159" s="288"/>
      <c r="K159" s="119" t="s">
        <v>1157</v>
      </c>
      <c r="L159" s="119" t="s">
        <v>1409</v>
      </c>
      <c r="M159" s="2"/>
      <c r="N159" s="2"/>
      <c r="O159" s="2"/>
      <c r="P159" s="2"/>
      <c r="Q159" s="2"/>
      <c r="R159" s="2"/>
      <c r="S159" s="2"/>
      <c r="T159" s="2"/>
      <c r="U159" s="2"/>
      <c r="V159" s="2"/>
      <c r="W159" s="2"/>
    </row>
    <row r="160" spans="1:24" customFormat="1" x14ac:dyDescent="0.3">
      <c r="A160" s="2"/>
      <c r="B160" s="2"/>
      <c r="C160" s="2"/>
      <c r="D160" s="2"/>
      <c r="E160" s="119" t="s">
        <v>1302</v>
      </c>
      <c r="F160" s="119" t="s">
        <v>1303</v>
      </c>
      <c r="G160" s="119" t="s">
        <v>1172</v>
      </c>
      <c r="H160" s="119" t="s">
        <v>1450</v>
      </c>
      <c r="I160" s="288"/>
      <c r="J160" s="288"/>
      <c r="K160" s="119" t="s">
        <v>1158</v>
      </c>
      <c r="L160" s="119" t="s">
        <v>1702</v>
      </c>
      <c r="M160" s="2"/>
      <c r="N160" s="2"/>
      <c r="O160" s="2"/>
      <c r="P160" s="2"/>
      <c r="Q160" s="2"/>
      <c r="R160" s="2"/>
      <c r="S160" s="2"/>
      <c r="T160" s="2"/>
      <c r="U160" s="2"/>
      <c r="V160" s="2"/>
      <c r="W160" s="2"/>
    </row>
    <row r="161" spans="1:23" customFormat="1" x14ac:dyDescent="0.3">
      <c r="A161" s="2"/>
      <c r="B161" s="2"/>
      <c r="C161" s="2"/>
      <c r="D161" s="2"/>
      <c r="E161" s="119" t="s">
        <v>1205</v>
      </c>
      <c r="F161" s="119" t="s">
        <v>1304</v>
      </c>
      <c r="G161" s="119" t="s">
        <v>1176</v>
      </c>
      <c r="H161" s="119" t="s">
        <v>1451</v>
      </c>
      <c r="I161" s="119" t="s">
        <v>1157</v>
      </c>
      <c r="J161" s="119" t="s">
        <v>1409</v>
      </c>
      <c r="K161" s="119" t="s">
        <v>1411</v>
      </c>
      <c r="L161" s="119" t="s">
        <v>1703</v>
      </c>
      <c r="M161" s="2"/>
      <c r="N161" s="2"/>
      <c r="O161" s="2"/>
      <c r="P161" s="2"/>
      <c r="Q161" s="2"/>
      <c r="R161" s="2"/>
      <c r="S161" s="2"/>
      <c r="T161" s="2"/>
      <c r="U161" s="2"/>
      <c r="V161" s="2"/>
      <c r="W161" s="2"/>
    </row>
    <row r="162" spans="1:23" customFormat="1" x14ac:dyDescent="0.3">
      <c r="A162" s="2"/>
      <c r="B162" s="2"/>
      <c r="C162" s="2"/>
      <c r="D162" s="2"/>
      <c r="E162" s="119" t="s">
        <v>1160</v>
      </c>
      <c r="F162" s="119" t="s">
        <v>1305</v>
      </c>
      <c r="G162" s="119" t="s">
        <v>1271</v>
      </c>
      <c r="H162" s="119" t="s">
        <v>1452</v>
      </c>
      <c r="I162" s="119" t="s">
        <v>1236</v>
      </c>
      <c r="J162" s="119" t="s">
        <v>1582</v>
      </c>
      <c r="K162" s="119" t="s">
        <v>1194</v>
      </c>
      <c r="L162" s="119" t="s">
        <v>1183</v>
      </c>
      <c r="M162" s="2"/>
      <c r="N162" s="2"/>
      <c r="O162" s="2"/>
      <c r="P162" s="2"/>
      <c r="Q162" s="2"/>
      <c r="R162" s="2"/>
      <c r="S162" s="2"/>
      <c r="T162" s="2"/>
      <c r="U162" s="2"/>
      <c r="V162" s="2"/>
      <c r="W162" s="2"/>
    </row>
    <row r="163" spans="1:23" customFormat="1" x14ac:dyDescent="0.3">
      <c r="A163" s="2"/>
      <c r="B163" s="2"/>
      <c r="C163" s="2"/>
      <c r="D163" s="2"/>
      <c r="E163" s="288" t="s">
        <v>1306</v>
      </c>
      <c r="F163" s="288"/>
      <c r="G163" s="119" t="s">
        <v>1248</v>
      </c>
      <c r="H163" s="119" t="s">
        <v>1453</v>
      </c>
      <c r="I163" s="119" t="s">
        <v>1289</v>
      </c>
      <c r="J163" s="119" t="s">
        <v>1239</v>
      </c>
      <c r="K163" s="119" t="s">
        <v>1160</v>
      </c>
      <c r="L163" s="119" t="s">
        <v>1704</v>
      </c>
      <c r="M163" s="2"/>
      <c r="N163" s="2"/>
      <c r="O163" s="2"/>
      <c r="P163" s="2"/>
      <c r="Q163" s="2"/>
      <c r="R163" s="2"/>
      <c r="S163" s="2"/>
      <c r="T163" s="2"/>
      <c r="U163" s="2"/>
      <c r="V163" s="2"/>
      <c r="W163" s="2"/>
    </row>
    <row r="164" spans="1:23" customFormat="1" x14ac:dyDescent="0.3">
      <c r="A164" s="2"/>
      <c r="B164" s="2"/>
      <c r="C164" s="2"/>
      <c r="D164" s="2"/>
      <c r="E164" s="288"/>
      <c r="F164" s="288"/>
      <c r="G164" s="288" t="s">
        <v>1454</v>
      </c>
      <c r="H164" s="288"/>
      <c r="I164" s="119" t="s">
        <v>1242</v>
      </c>
      <c r="J164" s="119" t="s">
        <v>1583</v>
      </c>
      <c r="K164" s="119" t="s">
        <v>1246</v>
      </c>
      <c r="L164" s="119" t="s">
        <v>1344</v>
      </c>
      <c r="M164" s="2"/>
      <c r="N164" s="2"/>
      <c r="O164" s="2"/>
      <c r="P164" s="2"/>
      <c r="Q164" s="2"/>
      <c r="R164" s="2"/>
      <c r="S164" s="2"/>
      <c r="T164" s="2"/>
      <c r="U164" s="2"/>
      <c r="V164" s="2"/>
      <c r="W164" s="2"/>
    </row>
    <row r="165" spans="1:23" customFormat="1" x14ac:dyDescent="0.3">
      <c r="A165" s="2"/>
      <c r="B165" s="2"/>
      <c r="C165" s="2"/>
      <c r="D165" s="2"/>
      <c r="E165" s="119" t="s">
        <v>1157</v>
      </c>
      <c r="F165" s="119" t="s">
        <v>1409</v>
      </c>
      <c r="G165" s="288"/>
      <c r="H165" s="288"/>
      <c r="I165" s="288" t="s">
        <v>1584</v>
      </c>
      <c r="J165" s="288"/>
      <c r="K165" s="288" t="s">
        <v>1705</v>
      </c>
      <c r="L165" s="288"/>
      <c r="M165" s="2"/>
      <c r="N165" s="2"/>
      <c r="O165" s="2"/>
      <c r="P165" s="2"/>
      <c r="Q165" s="2"/>
      <c r="R165" s="2"/>
      <c r="S165" s="2"/>
      <c r="T165" s="2"/>
      <c r="U165" s="2"/>
      <c r="V165" s="2"/>
      <c r="W165" s="2"/>
    </row>
    <row r="166" spans="1:23" customFormat="1" x14ac:dyDescent="0.3">
      <c r="A166" s="2"/>
      <c r="B166" s="2"/>
      <c r="C166" s="2"/>
      <c r="D166" s="2"/>
      <c r="E166" s="119" t="s">
        <v>1277</v>
      </c>
      <c r="F166" s="119" t="s">
        <v>1278</v>
      </c>
      <c r="G166" s="119" t="s">
        <v>1157</v>
      </c>
      <c r="H166" s="119" t="s">
        <v>1409</v>
      </c>
      <c r="I166" s="288"/>
      <c r="J166" s="288"/>
      <c r="K166" s="288"/>
      <c r="L166" s="288"/>
      <c r="M166" s="2"/>
      <c r="N166" s="2"/>
      <c r="O166" s="2"/>
      <c r="P166" s="2"/>
      <c r="Q166" s="2"/>
      <c r="R166" s="2"/>
      <c r="S166" s="2"/>
      <c r="T166" s="2"/>
      <c r="U166" s="2"/>
      <c r="V166" s="2"/>
      <c r="W166" s="2"/>
    </row>
    <row r="167" spans="1:23" customFormat="1" x14ac:dyDescent="0.3">
      <c r="A167" s="2"/>
      <c r="B167" s="2"/>
      <c r="C167" s="2"/>
      <c r="D167" s="2"/>
      <c r="E167" s="119" t="s">
        <v>1200</v>
      </c>
      <c r="F167" s="119" t="s">
        <v>1307</v>
      </c>
      <c r="G167" s="119" t="s">
        <v>1219</v>
      </c>
      <c r="H167" s="119" t="s">
        <v>1455</v>
      </c>
      <c r="I167" s="119" t="s">
        <v>1157</v>
      </c>
      <c r="J167" s="119" t="s">
        <v>1409</v>
      </c>
      <c r="K167" s="119" t="s">
        <v>1157</v>
      </c>
      <c r="L167" s="119" t="s">
        <v>1409</v>
      </c>
      <c r="M167" s="2"/>
      <c r="N167" s="2"/>
      <c r="O167" s="2"/>
      <c r="P167" s="2"/>
      <c r="Q167" s="2"/>
      <c r="R167" s="2"/>
      <c r="S167" s="2"/>
      <c r="T167" s="2"/>
      <c r="U167" s="2"/>
      <c r="V167" s="2"/>
      <c r="W167" s="2"/>
    </row>
    <row r="168" spans="1:23" customFormat="1" x14ac:dyDescent="0.3">
      <c r="A168" s="2"/>
      <c r="B168" s="2"/>
      <c r="C168" s="2"/>
      <c r="D168" s="2"/>
      <c r="E168" s="119" t="s">
        <v>1172</v>
      </c>
      <c r="F168" s="119" t="s">
        <v>1261</v>
      </c>
      <c r="G168" s="119" t="s">
        <v>1244</v>
      </c>
      <c r="H168" s="119" t="s">
        <v>1456</v>
      </c>
      <c r="I168" s="119" t="s">
        <v>1193</v>
      </c>
      <c r="J168" s="119" t="s">
        <v>1585</v>
      </c>
      <c r="K168" s="119" t="s">
        <v>1395</v>
      </c>
      <c r="L168" s="119" t="s">
        <v>1706</v>
      </c>
      <c r="M168" s="2"/>
      <c r="N168" s="2"/>
      <c r="O168" s="2"/>
      <c r="P168" s="2"/>
      <c r="Q168" s="2"/>
      <c r="R168" s="2"/>
      <c r="S168" s="2"/>
      <c r="T168" s="2"/>
      <c r="U168" s="2"/>
      <c r="V168" s="2"/>
      <c r="W168" s="2"/>
    </row>
    <row r="169" spans="1:23" customFormat="1" x14ac:dyDescent="0.3">
      <c r="A169" s="2"/>
      <c r="B169" s="2"/>
      <c r="C169" s="2"/>
      <c r="D169" s="2"/>
      <c r="E169" s="119" t="s">
        <v>1180</v>
      </c>
      <c r="F169" s="119" t="s">
        <v>1309</v>
      </c>
      <c r="G169" s="288" t="s">
        <v>1457</v>
      </c>
      <c r="H169" s="288"/>
      <c r="I169" s="119" t="s">
        <v>1203</v>
      </c>
      <c r="J169" s="119" t="s">
        <v>1171</v>
      </c>
      <c r="K169" s="119" t="s">
        <v>1283</v>
      </c>
      <c r="L169" s="119" t="s">
        <v>1707</v>
      </c>
      <c r="M169" s="2"/>
      <c r="N169" s="2"/>
      <c r="O169" s="2"/>
      <c r="P169" s="2"/>
      <c r="Q169" s="2"/>
      <c r="R169" s="2"/>
      <c r="S169" s="2"/>
      <c r="T169" s="2"/>
      <c r="U169" s="2"/>
      <c r="V169" s="2"/>
      <c r="W169" s="2"/>
    </row>
    <row r="170" spans="1:23" customFormat="1" x14ac:dyDescent="0.3">
      <c r="A170" s="2"/>
      <c r="B170" s="2"/>
      <c r="C170" s="2"/>
      <c r="D170" s="2"/>
      <c r="E170" s="119" t="s">
        <v>1184</v>
      </c>
      <c r="F170" s="119" t="s">
        <v>1310</v>
      </c>
      <c r="G170" s="288"/>
      <c r="H170" s="288"/>
      <c r="I170" s="119" t="s">
        <v>1167</v>
      </c>
      <c r="J170" s="119" t="s">
        <v>1524</v>
      </c>
      <c r="K170" s="119" t="s">
        <v>1295</v>
      </c>
      <c r="L170" s="119" t="s">
        <v>1708</v>
      </c>
      <c r="M170" s="2"/>
      <c r="N170" s="2"/>
      <c r="O170" s="2"/>
      <c r="P170" s="2"/>
      <c r="Q170" s="2"/>
      <c r="R170" s="2"/>
      <c r="S170" s="2"/>
      <c r="T170" s="2"/>
      <c r="U170" s="2"/>
      <c r="V170" s="2"/>
      <c r="W170" s="2"/>
    </row>
    <row r="171" spans="1:23" customFormat="1" x14ac:dyDescent="0.3">
      <c r="A171" s="2"/>
      <c r="B171" s="2"/>
      <c r="C171" s="2"/>
      <c r="D171" s="2"/>
      <c r="E171" s="119" t="s">
        <v>1186</v>
      </c>
      <c r="F171" s="119" t="s">
        <v>1311</v>
      </c>
      <c r="G171" s="119" t="s">
        <v>1157</v>
      </c>
      <c r="H171" s="119" t="s">
        <v>1409</v>
      </c>
      <c r="I171" s="119" t="s">
        <v>1224</v>
      </c>
      <c r="J171" s="119" t="s">
        <v>1225</v>
      </c>
      <c r="K171" s="119" t="s">
        <v>1330</v>
      </c>
      <c r="L171" s="119" t="s">
        <v>1709</v>
      </c>
      <c r="M171" s="2"/>
      <c r="N171" s="2"/>
      <c r="O171" s="2"/>
      <c r="P171" s="2"/>
      <c r="Q171" s="2"/>
      <c r="R171" s="2"/>
      <c r="S171" s="2"/>
      <c r="T171" s="2"/>
      <c r="U171" s="2"/>
      <c r="V171" s="2"/>
      <c r="W171" s="2"/>
    </row>
    <row r="172" spans="1:23" customFormat="1" x14ac:dyDescent="0.3">
      <c r="A172" s="2"/>
      <c r="B172" s="2"/>
      <c r="C172" s="2"/>
      <c r="D172" s="2"/>
      <c r="E172" s="288" t="s">
        <v>1312</v>
      </c>
      <c r="F172" s="288"/>
      <c r="G172" s="119" t="s">
        <v>1234</v>
      </c>
      <c r="H172" s="119" t="s">
        <v>1458</v>
      </c>
      <c r="I172" s="119" t="s">
        <v>1158</v>
      </c>
      <c r="J172" s="119" t="s">
        <v>1586</v>
      </c>
      <c r="K172" s="288" t="s">
        <v>1710</v>
      </c>
      <c r="L172" s="288"/>
      <c r="M172" s="2"/>
      <c r="N172" s="2"/>
      <c r="O172" s="2"/>
      <c r="P172" s="2"/>
      <c r="Q172" s="2"/>
      <c r="R172" s="2"/>
      <c r="S172" s="2"/>
      <c r="T172" s="2"/>
      <c r="U172" s="2"/>
      <c r="V172" s="2"/>
      <c r="W172" s="2"/>
    </row>
    <row r="173" spans="1:23" customFormat="1" x14ac:dyDescent="0.3">
      <c r="A173" s="2"/>
      <c r="B173" s="2"/>
      <c r="C173" s="2"/>
      <c r="D173" s="2"/>
      <c r="E173" s="288"/>
      <c r="F173" s="288"/>
      <c r="G173" s="119" t="s">
        <v>1238</v>
      </c>
      <c r="H173" s="119" t="s">
        <v>1459</v>
      </c>
      <c r="I173" s="119" t="s">
        <v>1293</v>
      </c>
      <c r="J173" s="119" t="s">
        <v>1587</v>
      </c>
      <c r="K173" s="288"/>
      <c r="L173" s="288"/>
      <c r="M173" s="2"/>
      <c r="N173" s="2"/>
      <c r="O173" s="2"/>
      <c r="P173" s="2"/>
      <c r="Q173" s="2"/>
      <c r="R173" s="2"/>
      <c r="S173" s="2"/>
      <c r="T173" s="2"/>
      <c r="U173" s="2"/>
      <c r="V173" s="2"/>
      <c r="W173" s="2"/>
    </row>
    <row r="174" spans="1:23" customFormat="1" x14ac:dyDescent="0.3">
      <c r="A174" s="2"/>
      <c r="B174" s="2"/>
      <c r="C174" s="2"/>
      <c r="D174" s="2"/>
      <c r="E174" s="119" t="s">
        <v>1157</v>
      </c>
      <c r="F174" s="119" t="s">
        <v>1409</v>
      </c>
      <c r="G174" s="288" t="s">
        <v>1460</v>
      </c>
      <c r="H174" s="288"/>
      <c r="I174" s="119" t="s">
        <v>1299</v>
      </c>
      <c r="J174" s="119" t="s">
        <v>1588</v>
      </c>
      <c r="K174" s="119" t="s">
        <v>1157</v>
      </c>
      <c r="L174" s="119" t="s">
        <v>1409</v>
      </c>
      <c r="M174" s="2"/>
      <c r="N174" s="2"/>
      <c r="O174" s="2"/>
      <c r="P174" s="2"/>
      <c r="Q174" s="2"/>
      <c r="R174" s="2"/>
      <c r="S174" s="2"/>
      <c r="T174" s="2"/>
      <c r="U174" s="2"/>
      <c r="V174" s="2"/>
      <c r="W174" s="2"/>
    </row>
    <row r="175" spans="1:23" customFormat="1" x14ac:dyDescent="0.3">
      <c r="A175" s="2"/>
      <c r="B175" s="2"/>
      <c r="C175" s="2"/>
      <c r="D175" s="2"/>
      <c r="E175" s="119" t="s">
        <v>1283</v>
      </c>
      <c r="F175" s="119" t="s">
        <v>1313</v>
      </c>
      <c r="G175" s="288"/>
      <c r="H175" s="288"/>
      <c r="I175" s="119" t="s">
        <v>1226</v>
      </c>
      <c r="J175" s="119" t="s">
        <v>1589</v>
      </c>
      <c r="K175" s="119" t="s">
        <v>1302</v>
      </c>
      <c r="L175" s="119" t="s">
        <v>1303</v>
      </c>
      <c r="M175" s="2"/>
      <c r="N175" s="2"/>
      <c r="O175" s="2"/>
      <c r="P175" s="2"/>
      <c r="Q175" s="2"/>
      <c r="R175" s="2"/>
      <c r="S175" s="2"/>
      <c r="T175" s="2"/>
      <c r="U175" s="2"/>
      <c r="V175" s="2"/>
      <c r="W175" s="2"/>
    </row>
    <row r="176" spans="1:23" customFormat="1" x14ac:dyDescent="0.3">
      <c r="A176" s="2"/>
      <c r="B176" s="2"/>
      <c r="C176" s="2"/>
      <c r="D176" s="2"/>
      <c r="E176" s="119" t="s">
        <v>1219</v>
      </c>
      <c r="F176" s="119" t="s">
        <v>1314</v>
      </c>
      <c r="G176" s="119" t="s">
        <v>1157</v>
      </c>
      <c r="H176" s="119" t="s">
        <v>1409</v>
      </c>
      <c r="I176" s="119" t="s">
        <v>1228</v>
      </c>
      <c r="J176" s="119" t="s">
        <v>1308</v>
      </c>
      <c r="K176" s="119" t="s">
        <v>1258</v>
      </c>
      <c r="L176" s="119" t="s">
        <v>1421</v>
      </c>
      <c r="M176" s="2"/>
      <c r="N176" s="2"/>
      <c r="O176" s="2"/>
      <c r="P176" s="2"/>
      <c r="Q176" s="2"/>
      <c r="R176" s="2"/>
      <c r="S176" s="2"/>
      <c r="T176" s="2"/>
      <c r="U176" s="2"/>
      <c r="V176" s="2"/>
      <c r="W176" s="2"/>
    </row>
    <row r="177" spans="1:23" customFormat="1" x14ac:dyDescent="0.3">
      <c r="A177" s="2"/>
      <c r="B177" s="2"/>
      <c r="C177" s="2"/>
      <c r="D177" s="2"/>
      <c r="E177" s="119" t="s">
        <v>1193</v>
      </c>
      <c r="F177" s="119" t="s">
        <v>1315</v>
      </c>
      <c r="G177" s="119" t="s">
        <v>1232</v>
      </c>
      <c r="H177" s="119" t="s">
        <v>1461</v>
      </c>
      <c r="I177" s="119" t="s">
        <v>1271</v>
      </c>
      <c r="J177" s="119" t="s">
        <v>1438</v>
      </c>
      <c r="K177" s="288" t="s">
        <v>1711</v>
      </c>
      <c r="L177" s="288"/>
      <c r="M177" s="2"/>
      <c r="N177" s="2"/>
      <c r="O177" s="2"/>
      <c r="P177" s="2"/>
      <c r="Q177" s="2"/>
      <c r="R177" s="2"/>
      <c r="S177" s="2"/>
      <c r="T177" s="2"/>
      <c r="U177" s="2"/>
      <c r="V177" s="2"/>
      <c r="W177" s="2"/>
    </row>
    <row r="178" spans="1:23" customFormat="1" x14ac:dyDescent="0.3">
      <c r="A178" s="2"/>
      <c r="B178" s="2"/>
      <c r="C178" s="2"/>
      <c r="D178" s="2"/>
      <c r="E178" s="119" t="s">
        <v>1165</v>
      </c>
      <c r="F178" s="119" t="s">
        <v>1316</v>
      </c>
      <c r="G178" s="119" t="s">
        <v>1194</v>
      </c>
      <c r="H178" s="119" t="s">
        <v>1462</v>
      </c>
      <c r="I178" s="119" t="s">
        <v>1395</v>
      </c>
      <c r="J178" s="119" t="s">
        <v>1311</v>
      </c>
      <c r="K178" s="288"/>
      <c r="L178" s="288"/>
      <c r="M178" s="2"/>
      <c r="N178" s="2"/>
      <c r="O178" s="2"/>
      <c r="P178" s="2"/>
      <c r="Q178" s="2"/>
      <c r="R178" s="2"/>
      <c r="S178" s="2"/>
      <c r="T178" s="2"/>
      <c r="U178" s="2"/>
      <c r="V178" s="2"/>
      <c r="W178" s="2"/>
    </row>
    <row r="179" spans="1:23" customFormat="1" x14ac:dyDescent="0.3">
      <c r="A179" s="2"/>
      <c r="B179" s="2"/>
      <c r="C179" s="2"/>
      <c r="D179" s="2"/>
      <c r="E179" s="119" t="s">
        <v>1258</v>
      </c>
      <c r="F179" s="119" t="s">
        <v>1259</v>
      </c>
      <c r="G179" s="288" t="s">
        <v>1463</v>
      </c>
      <c r="H179" s="288"/>
      <c r="I179" s="119" t="s">
        <v>1159</v>
      </c>
      <c r="J179" s="119" t="s">
        <v>1590</v>
      </c>
      <c r="K179" s="119" t="s">
        <v>1157</v>
      </c>
      <c r="L179" s="119" t="s">
        <v>1409</v>
      </c>
      <c r="M179" s="2"/>
      <c r="N179" s="2"/>
      <c r="O179" s="2"/>
      <c r="P179" s="2"/>
      <c r="Q179" s="2"/>
      <c r="R179" s="2"/>
      <c r="S179" s="2"/>
      <c r="T179" s="2"/>
      <c r="U179" s="2"/>
      <c r="V179" s="2"/>
      <c r="W179" s="2"/>
    </row>
    <row r="180" spans="1:23" customFormat="1" x14ac:dyDescent="0.3">
      <c r="A180" s="2"/>
      <c r="B180" s="2"/>
      <c r="C180" s="2"/>
      <c r="D180" s="2"/>
      <c r="E180" s="119" t="s">
        <v>1167</v>
      </c>
      <c r="F180" s="119" t="s">
        <v>1317</v>
      </c>
      <c r="G180" s="288"/>
      <c r="H180" s="288"/>
      <c r="I180" s="288" t="s">
        <v>1591</v>
      </c>
      <c r="J180" s="288"/>
      <c r="K180" s="119" t="s">
        <v>1167</v>
      </c>
      <c r="L180" s="119" t="s">
        <v>1712</v>
      </c>
      <c r="M180" s="2"/>
      <c r="N180" s="2"/>
      <c r="O180" s="2"/>
      <c r="P180" s="2"/>
      <c r="Q180" s="2"/>
      <c r="R180" s="2"/>
      <c r="S180" s="2"/>
      <c r="T180" s="2"/>
      <c r="U180" s="2"/>
      <c r="V180" s="2"/>
      <c r="W180" s="2"/>
    </row>
    <row r="181" spans="1:23" customFormat="1" x14ac:dyDescent="0.3">
      <c r="A181" s="2"/>
      <c r="B181" s="2"/>
      <c r="C181" s="2"/>
      <c r="D181" s="2"/>
      <c r="E181" s="119" t="s">
        <v>1242</v>
      </c>
      <c r="F181" s="119" t="s">
        <v>1318</v>
      </c>
      <c r="G181" s="119" t="s">
        <v>1157</v>
      </c>
      <c r="H181" s="119" t="s">
        <v>1409</v>
      </c>
      <c r="I181" s="288"/>
      <c r="J181" s="288"/>
      <c r="K181" s="119" t="s">
        <v>1158</v>
      </c>
      <c r="L181" s="119" t="s">
        <v>1397</v>
      </c>
      <c r="M181" s="2"/>
      <c r="N181" s="2"/>
      <c r="O181" s="2"/>
      <c r="P181" s="2"/>
      <c r="Q181" s="2"/>
      <c r="R181" s="2"/>
      <c r="S181" s="2"/>
      <c r="T181" s="2"/>
      <c r="U181" s="2"/>
      <c r="V181" s="2"/>
      <c r="W181" s="2"/>
    </row>
    <row r="182" spans="1:23" customFormat="1" x14ac:dyDescent="0.3">
      <c r="A182" s="2"/>
      <c r="B182" s="2"/>
      <c r="C182" s="2"/>
      <c r="D182" s="2"/>
      <c r="E182" s="119" t="s">
        <v>1159</v>
      </c>
      <c r="F182" s="119" t="s">
        <v>1319</v>
      </c>
      <c r="G182" s="119" t="s">
        <v>1250</v>
      </c>
      <c r="H182" s="119" t="s">
        <v>1251</v>
      </c>
      <c r="I182" s="119" t="s">
        <v>1157</v>
      </c>
      <c r="J182" s="119" t="s">
        <v>1409</v>
      </c>
      <c r="K182" s="119" t="s">
        <v>1299</v>
      </c>
      <c r="L182" s="119" t="s">
        <v>1713</v>
      </c>
      <c r="M182" s="2"/>
      <c r="N182" s="2"/>
      <c r="O182" s="2"/>
      <c r="P182" s="2"/>
      <c r="Q182" s="2"/>
      <c r="R182" s="2"/>
      <c r="S182" s="2"/>
      <c r="T182" s="2"/>
      <c r="U182" s="2"/>
      <c r="V182" s="2"/>
      <c r="W182" s="2"/>
    </row>
    <row r="183" spans="1:23" customFormat="1" x14ac:dyDescent="0.3">
      <c r="A183" s="2"/>
      <c r="B183" s="2"/>
      <c r="C183" s="2"/>
      <c r="D183" s="2"/>
      <c r="E183" s="119" t="s">
        <v>1320</v>
      </c>
      <c r="F183" s="119" t="s">
        <v>1321</v>
      </c>
      <c r="G183" s="119" t="s">
        <v>1419</v>
      </c>
      <c r="H183" s="119" t="s">
        <v>1464</v>
      </c>
      <c r="I183" s="119" t="s">
        <v>1172</v>
      </c>
      <c r="J183" s="119" t="s">
        <v>1592</v>
      </c>
      <c r="K183" s="119" t="s">
        <v>1176</v>
      </c>
      <c r="L183" s="119" t="s">
        <v>1714</v>
      </c>
      <c r="M183" s="2"/>
      <c r="N183" s="2"/>
      <c r="O183" s="2"/>
      <c r="P183" s="2"/>
      <c r="Q183" s="2"/>
      <c r="R183" s="2"/>
      <c r="S183" s="2"/>
      <c r="T183" s="2"/>
      <c r="U183" s="2"/>
      <c r="V183" s="2"/>
      <c r="W183" s="2"/>
    </row>
    <row r="184" spans="1:23" customFormat="1" x14ac:dyDescent="0.3">
      <c r="A184" s="2"/>
      <c r="B184" s="2"/>
      <c r="C184" s="2"/>
      <c r="D184" s="2"/>
      <c r="E184" s="119" t="s">
        <v>1246</v>
      </c>
      <c r="F184" s="119" t="s">
        <v>1247</v>
      </c>
      <c r="G184" s="119" t="s">
        <v>1291</v>
      </c>
      <c r="H184" s="119" t="s">
        <v>1314</v>
      </c>
      <c r="I184" s="119" t="s">
        <v>1174</v>
      </c>
      <c r="J184" s="119" t="s">
        <v>1593</v>
      </c>
      <c r="K184" s="119" t="s">
        <v>1178</v>
      </c>
      <c r="L184" s="119" t="s">
        <v>1715</v>
      </c>
      <c r="M184" s="2"/>
      <c r="N184" s="2"/>
      <c r="O184" s="2"/>
      <c r="P184" s="2"/>
      <c r="Q184" s="2"/>
      <c r="R184" s="2"/>
      <c r="S184" s="2"/>
      <c r="T184" s="2"/>
      <c r="U184" s="2"/>
      <c r="V184" s="2"/>
      <c r="W184" s="2"/>
    </row>
    <row r="185" spans="1:23" customFormat="1" x14ac:dyDescent="0.3">
      <c r="A185" s="2"/>
      <c r="B185" s="2"/>
      <c r="C185" s="2"/>
      <c r="D185" s="2"/>
      <c r="E185" s="119" t="s">
        <v>1322</v>
      </c>
      <c r="F185" s="119" t="s">
        <v>1323</v>
      </c>
      <c r="G185" s="119" t="s">
        <v>1338</v>
      </c>
      <c r="H185" s="119" t="s">
        <v>1465</v>
      </c>
      <c r="I185" s="119" t="s">
        <v>1182</v>
      </c>
      <c r="J185" s="119" t="s">
        <v>1211</v>
      </c>
      <c r="K185" s="119" t="s">
        <v>1188</v>
      </c>
      <c r="L185" s="119" t="s">
        <v>1441</v>
      </c>
      <c r="M185" s="2"/>
      <c r="N185" s="2"/>
      <c r="O185" s="2"/>
      <c r="P185" s="2"/>
      <c r="Q185" s="2"/>
      <c r="R185" s="2"/>
      <c r="S185" s="2"/>
      <c r="T185" s="2"/>
      <c r="U185" s="2"/>
      <c r="V185" s="2"/>
      <c r="W185" s="2"/>
    </row>
    <row r="186" spans="1:23" customFormat="1" x14ac:dyDescent="0.3">
      <c r="A186" s="2"/>
      <c r="B186" s="2"/>
      <c r="C186" s="2"/>
      <c r="D186" s="2"/>
      <c r="E186" s="119" t="s">
        <v>1216</v>
      </c>
      <c r="F186" s="119" t="s">
        <v>1403</v>
      </c>
      <c r="G186" s="119" t="s">
        <v>1228</v>
      </c>
      <c r="H186" s="119" t="s">
        <v>1466</v>
      </c>
      <c r="I186" s="119" t="s">
        <v>1248</v>
      </c>
      <c r="J186" s="119" t="s">
        <v>1453</v>
      </c>
      <c r="K186" s="288" t="s">
        <v>1716</v>
      </c>
      <c r="L186" s="288"/>
      <c r="M186" s="2"/>
      <c r="N186" s="2"/>
      <c r="O186" s="2"/>
      <c r="P186" s="2"/>
      <c r="Q186" s="2"/>
      <c r="R186" s="2"/>
      <c r="S186" s="2"/>
      <c r="T186" s="2"/>
      <c r="U186" s="2"/>
      <c r="V186" s="2"/>
      <c r="W186" s="2"/>
    </row>
    <row r="187" spans="1:23" customFormat="1" x14ac:dyDescent="0.3">
      <c r="A187" s="2"/>
      <c r="B187" s="2"/>
      <c r="C187" s="2"/>
      <c r="D187" s="2"/>
      <c r="E187" s="288" t="s">
        <v>1324</v>
      </c>
      <c r="F187" s="288"/>
      <c r="G187" s="119" t="s">
        <v>1194</v>
      </c>
      <c r="H187" s="119" t="s">
        <v>1467</v>
      </c>
      <c r="I187" s="288" t="s">
        <v>1594</v>
      </c>
      <c r="J187" s="288"/>
      <c r="K187" s="288"/>
      <c r="L187" s="288"/>
      <c r="M187" s="2"/>
      <c r="N187" s="2"/>
      <c r="O187" s="2"/>
      <c r="P187" s="2"/>
      <c r="Q187" s="2"/>
      <c r="R187" s="2"/>
      <c r="S187" s="2"/>
      <c r="T187" s="2"/>
      <c r="U187" s="2"/>
      <c r="V187" s="2"/>
      <c r="W187" s="2"/>
    </row>
    <row r="188" spans="1:23" customFormat="1" x14ac:dyDescent="0.3">
      <c r="A188" s="2"/>
      <c r="B188" s="2"/>
      <c r="C188" s="2"/>
      <c r="D188" s="2"/>
      <c r="E188" s="288"/>
      <c r="F188" s="288"/>
      <c r="G188" s="119" t="s">
        <v>1180</v>
      </c>
      <c r="H188" s="119" t="s">
        <v>1211</v>
      </c>
      <c r="I188" s="288"/>
      <c r="J188" s="288"/>
      <c r="K188" s="119" t="s">
        <v>1157</v>
      </c>
      <c r="L188" s="119" t="s">
        <v>1409</v>
      </c>
      <c r="M188" s="2"/>
      <c r="N188" s="2"/>
      <c r="O188" s="2"/>
      <c r="P188" s="2"/>
      <c r="Q188" s="2"/>
      <c r="R188" s="2"/>
      <c r="S188" s="2"/>
      <c r="T188" s="2"/>
      <c r="U188" s="2"/>
      <c r="V188" s="2"/>
      <c r="W188" s="2"/>
    </row>
    <row r="189" spans="1:23" customFormat="1" x14ac:dyDescent="0.3">
      <c r="A189" s="2"/>
      <c r="B189" s="2"/>
      <c r="C189" s="2"/>
      <c r="D189" s="2"/>
      <c r="E189" s="119" t="s">
        <v>1157</v>
      </c>
      <c r="F189" s="119" t="s">
        <v>1409</v>
      </c>
      <c r="G189" s="119" t="s">
        <v>1188</v>
      </c>
      <c r="H189" s="119" t="s">
        <v>1365</v>
      </c>
      <c r="I189" s="119" t="s">
        <v>1157</v>
      </c>
      <c r="J189" s="119" t="s">
        <v>1409</v>
      </c>
      <c r="K189" s="119" t="s">
        <v>1240</v>
      </c>
      <c r="L189" s="119" t="s">
        <v>1268</v>
      </c>
      <c r="M189" s="2"/>
      <c r="N189" s="2"/>
      <c r="O189" s="2"/>
      <c r="P189" s="2"/>
      <c r="Q189" s="2"/>
      <c r="R189" s="2"/>
      <c r="S189" s="2"/>
      <c r="T189" s="2"/>
      <c r="U189" s="2"/>
      <c r="V189" s="2"/>
      <c r="W189" s="2"/>
    </row>
    <row r="190" spans="1:23" customFormat="1" x14ac:dyDescent="0.3">
      <c r="A190" s="2"/>
      <c r="B190" s="2"/>
      <c r="C190" s="2"/>
      <c r="D190" s="2"/>
      <c r="E190" s="119" t="s">
        <v>1275</v>
      </c>
      <c r="F190" s="119" t="s">
        <v>1325</v>
      </c>
      <c r="G190" s="119" t="s">
        <v>1322</v>
      </c>
      <c r="H190" s="119" t="s">
        <v>1468</v>
      </c>
      <c r="I190" s="119" t="s">
        <v>1207</v>
      </c>
      <c r="J190" s="119" t="s">
        <v>1595</v>
      </c>
      <c r="K190" s="119" t="s">
        <v>1193</v>
      </c>
      <c r="L190" s="119" t="s">
        <v>1362</v>
      </c>
      <c r="M190" s="2"/>
      <c r="N190" s="2"/>
      <c r="O190" s="2"/>
      <c r="P190" s="2"/>
      <c r="Q190" s="2"/>
      <c r="R190" s="2"/>
      <c r="S190" s="2"/>
      <c r="T190" s="2"/>
      <c r="U190" s="2"/>
      <c r="V190" s="2"/>
      <c r="W190" s="2"/>
    </row>
    <row r="191" spans="1:23" customFormat="1" x14ac:dyDescent="0.3">
      <c r="A191" s="2"/>
      <c r="B191" s="2"/>
      <c r="C191" s="2"/>
      <c r="D191" s="2"/>
      <c r="E191" s="119" t="s">
        <v>1326</v>
      </c>
      <c r="F191" s="119" t="s">
        <v>1327</v>
      </c>
      <c r="G191" s="288" t="s">
        <v>1469</v>
      </c>
      <c r="H191" s="288"/>
      <c r="I191" s="119" t="s">
        <v>1248</v>
      </c>
      <c r="J191" s="119" t="s">
        <v>1596</v>
      </c>
      <c r="K191" s="119" t="s">
        <v>1271</v>
      </c>
      <c r="L191" s="119" t="s">
        <v>1272</v>
      </c>
      <c r="M191" s="2"/>
      <c r="N191" s="2"/>
      <c r="O191" s="2"/>
      <c r="P191" s="2"/>
      <c r="Q191" s="2"/>
      <c r="R191" s="2"/>
      <c r="S191" s="2"/>
      <c r="T191" s="2"/>
      <c r="U191" s="2"/>
      <c r="V191" s="2"/>
      <c r="W191" s="2"/>
    </row>
    <row r="192" spans="1:23" customFormat="1" x14ac:dyDescent="0.3">
      <c r="A192" s="2"/>
      <c r="B192" s="2"/>
      <c r="C192" s="2"/>
      <c r="D192" s="2"/>
      <c r="E192" s="288" t="s">
        <v>1328</v>
      </c>
      <c r="F192" s="288"/>
      <c r="G192" s="288"/>
      <c r="H192" s="288"/>
      <c r="I192" s="288" t="s">
        <v>1597</v>
      </c>
      <c r="J192" s="288"/>
      <c r="K192" s="119" t="s">
        <v>1194</v>
      </c>
      <c r="L192" s="119" t="s">
        <v>1576</v>
      </c>
      <c r="M192" s="2"/>
      <c r="N192" s="2"/>
      <c r="O192" s="2"/>
      <c r="P192" s="2"/>
      <c r="Q192" s="2"/>
      <c r="R192" s="2"/>
      <c r="S192" s="2"/>
      <c r="T192" s="2"/>
      <c r="U192" s="2"/>
      <c r="V192" s="2"/>
      <c r="W192" s="2"/>
    </row>
    <row r="193" spans="1:23" customFormat="1" x14ac:dyDescent="0.3">
      <c r="A193" s="2"/>
      <c r="B193" s="2"/>
      <c r="C193" s="2"/>
      <c r="D193" s="2"/>
      <c r="E193" s="288"/>
      <c r="F193" s="288"/>
      <c r="G193" s="119" t="s">
        <v>1157</v>
      </c>
      <c r="H193" s="119" t="s">
        <v>1409</v>
      </c>
      <c r="I193" s="288"/>
      <c r="J193" s="288"/>
      <c r="K193" s="119" t="s">
        <v>1160</v>
      </c>
      <c r="L193" s="119" t="s">
        <v>1401</v>
      </c>
      <c r="M193" s="2"/>
      <c r="N193" s="2"/>
      <c r="O193" s="2"/>
      <c r="P193" s="2"/>
      <c r="Q193" s="2"/>
      <c r="R193" s="2"/>
      <c r="S193" s="2"/>
      <c r="T193" s="2"/>
      <c r="U193" s="2"/>
      <c r="V193" s="2"/>
      <c r="W193" s="2"/>
    </row>
    <row r="194" spans="1:23" customFormat="1" x14ac:dyDescent="0.3">
      <c r="A194" s="2"/>
      <c r="B194" s="2"/>
      <c r="C194" s="2"/>
      <c r="D194" s="2"/>
      <c r="E194" s="119" t="s">
        <v>1157</v>
      </c>
      <c r="F194" s="119" t="s">
        <v>1409</v>
      </c>
      <c r="G194" s="119" t="s">
        <v>1287</v>
      </c>
      <c r="H194" s="119" t="s">
        <v>1470</v>
      </c>
      <c r="I194" s="119" t="s">
        <v>1157</v>
      </c>
      <c r="J194" s="119" t="s">
        <v>1409</v>
      </c>
      <c r="K194" s="288" t="s">
        <v>1717</v>
      </c>
      <c r="L194" s="288"/>
      <c r="M194" s="2"/>
      <c r="N194" s="2"/>
      <c r="O194" s="2"/>
      <c r="P194" s="2"/>
      <c r="Q194" s="2"/>
      <c r="R194" s="2"/>
      <c r="S194" s="2"/>
      <c r="T194" s="2"/>
      <c r="U194" s="2"/>
      <c r="V194" s="2"/>
      <c r="W194" s="2"/>
    </row>
    <row r="195" spans="1:23" customFormat="1" x14ac:dyDescent="0.3">
      <c r="A195" s="2"/>
      <c r="B195" s="2"/>
      <c r="C195" s="2"/>
      <c r="D195" s="2"/>
      <c r="E195" s="119" t="s">
        <v>1209</v>
      </c>
      <c r="F195" s="119" t="s">
        <v>1329</v>
      </c>
      <c r="G195" s="119" t="s">
        <v>1198</v>
      </c>
      <c r="H195" s="119" t="s">
        <v>1199</v>
      </c>
      <c r="I195" s="119" t="s">
        <v>1236</v>
      </c>
      <c r="J195" s="119" t="s">
        <v>1599</v>
      </c>
      <c r="K195" s="288"/>
      <c r="L195" s="288"/>
      <c r="M195" s="2"/>
      <c r="N195" s="2"/>
      <c r="O195" s="2"/>
      <c r="P195" s="2"/>
      <c r="Q195" s="2"/>
      <c r="R195" s="2"/>
      <c r="S195" s="2"/>
      <c r="T195" s="2"/>
      <c r="U195" s="2"/>
      <c r="V195" s="2"/>
      <c r="W195" s="2"/>
    </row>
    <row r="196" spans="1:23" customFormat="1" x14ac:dyDescent="0.3">
      <c r="A196" s="2"/>
      <c r="B196" s="2"/>
      <c r="C196" s="2"/>
      <c r="D196" s="2"/>
      <c r="E196" s="119" t="s">
        <v>1330</v>
      </c>
      <c r="F196" s="119" t="s">
        <v>1331</v>
      </c>
      <c r="G196" s="119" t="s">
        <v>1219</v>
      </c>
      <c r="H196" s="119" t="s">
        <v>1471</v>
      </c>
      <c r="I196" s="119" t="s">
        <v>1238</v>
      </c>
      <c r="J196" s="119" t="s">
        <v>1600</v>
      </c>
      <c r="K196" s="119" t="s">
        <v>1157</v>
      </c>
      <c r="L196" s="119" t="s">
        <v>1409</v>
      </c>
      <c r="M196" s="2"/>
      <c r="N196" s="2"/>
      <c r="O196" s="2"/>
      <c r="P196" s="2"/>
      <c r="Q196" s="2"/>
      <c r="R196" s="2"/>
      <c r="S196" s="2"/>
      <c r="T196" s="2"/>
      <c r="U196" s="2"/>
      <c r="V196" s="2"/>
      <c r="W196" s="2"/>
    </row>
    <row r="197" spans="1:23" customFormat="1" x14ac:dyDescent="0.3">
      <c r="A197" s="2"/>
      <c r="B197" s="2"/>
      <c r="C197" s="2"/>
      <c r="D197" s="2"/>
      <c r="E197" s="288" t="s">
        <v>1332</v>
      </c>
      <c r="F197" s="288"/>
      <c r="G197" s="288" t="s">
        <v>1472</v>
      </c>
      <c r="H197" s="288"/>
      <c r="I197" s="119" t="s">
        <v>1240</v>
      </c>
      <c r="J197" s="119" t="s">
        <v>1399</v>
      </c>
      <c r="K197" s="119" t="s">
        <v>1291</v>
      </c>
      <c r="L197" s="119" t="s">
        <v>1369</v>
      </c>
      <c r="M197" s="2"/>
      <c r="N197" s="2"/>
      <c r="O197" s="2"/>
      <c r="P197" s="2"/>
      <c r="Q197" s="2"/>
      <c r="R197" s="2"/>
      <c r="S197" s="2"/>
      <c r="T197" s="2"/>
      <c r="U197" s="2"/>
      <c r="V197" s="2"/>
      <c r="W197" s="2"/>
    </row>
    <row r="198" spans="1:23" customFormat="1" x14ac:dyDescent="0.3">
      <c r="A198" s="2"/>
      <c r="B198" s="2"/>
      <c r="C198" s="2"/>
      <c r="D198" s="2"/>
      <c r="E198" s="288"/>
      <c r="F198" s="288"/>
      <c r="G198" s="288"/>
      <c r="H198" s="288"/>
      <c r="I198" s="119" t="s">
        <v>1291</v>
      </c>
      <c r="J198" s="119" t="s">
        <v>1601</v>
      </c>
      <c r="K198" s="119" t="s">
        <v>1280</v>
      </c>
      <c r="L198" s="119" t="s">
        <v>1281</v>
      </c>
      <c r="M198" s="2"/>
      <c r="N198" s="2"/>
      <c r="O198" s="2"/>
      <c r="P198" s="2"/>
      <c r="Q198" s="2"/>
      <c r="R198" s="2"/>
      <c r="S198" s="2"/>
      <c r="T198" s="2"/>
      <c r="U198" s="2"/>
      <c r="V198" s="2"/>
      <c r="W198" s="2"/>
    </row>
    <row r="199" spans="1:23" customFormat="1" x14ac:dyDescent="0.3">
      <c r="A199" s="2"/>
      <c r="B199" s="2"/>
      <c r="C199" s="2"/>
      <c r="D199" s="2"/>
      <c r="E199" s="119" t="s">
        <v>1157</v>
      </c>
      <c r="F199" s="119" t="s">
        <v>1409</v>
      </c>
      <c r="G199" s="119" t="s">
        <v>1157</v>
      </c>
      <c r="H199" s="119" t="s">
        <v>1409</v>
      </c>
      <c r="I199" s="119" t="s">
        <v>1258</v>
      </c>
      <c r="J199" s="119" t="s">
        <v>1602</v>
      </c>
      <c r="K199" s="119" t="s">
        <v>1170</v>
      </c>
      <c r="L199" s="119" t="s">
        <v>1298</v>
      </c>
      <c r="M199" s="2"/>
      <c r="N199" s="2"/>
      <c r="O199" s="2"/>
      <c r="P199" s="2"/>
      <c r="Q199" s="2"/>
      <c r="R199" s="2"/>
      <c r="S199" s="2"/>
      <c r="T199" s="2"/>
      <c r="U199" s="2"/>
      <c r="V199" s="2"/>
      <c r="W199" s="2"/>
    </row>
    <row r="200" spans="1:23" customFormat="1" x14ac:dyDescent="0.3">
      <c r="A200" s="2"/>
      <c r="B200" s="2"/>
      <c r="C200" s="2"/>
      <c r="D200" s="2"/>
      <c r="E200" s="119" t="s">
        <v>1256</v>
      </c>
      <c r="F200" s="119" t="s">
        <v>1333</v>
      </c>
      <c r="G200" s="119" t="s">
        <v>1359</v>
      </c>
      <c r="H200" s="119" t="s">
        <v>1473</v>
      </c>
      <c r="I200" s="119" t="s">
        <v>1224</v>
      </c>
      <c r="J200" s="119" t="s">
        <v>1225</v>
      </c>
      <c r="K200" s="288" t="s">
        <v>1718</v>
      </c>
      <c r="L200" s="288"/>
      <c r="M200" s="2"/>
      <c r="N200" s="2"/>
      <c r="O200" s="2"/>
      <c r="P200" s="2"/>
      <c r="Q200" s="2"/>
      <c r="R200" s="2"/>
      <c r="S200" s="2"/>
      <c r="T200" s="2"/>
      <c r="U200" s="2"/>
      <c r="V200" s="2"/>
      <c r="W200" s="2"/>
    </row>
    <row r="201" spans="1:23" customFormat="1" x14ac:dyDescent="0.3">
      <c r="A201" s="2"/>
      <c r="B201" s="2"/>
      <c r="C201" s="2"/>
      <c r="D201" s="2"/>
      <c r="E201" s="119" t="s">
        <v>1159</v>
      </c>
      <c r="F201" s="119" t="s">
        <v>1334</v>
      </c>
      <c r="G201" s="119" t="s">
        <v>1193</v>
      </c>
      <c r="H201" s="119" t="s">
        <v>1474</v>
      </c>
      <c r="I201" s="119" t="s">
        <v>1411</v>
      </c>
      <c r="J201" s="119" t="s">
        <v>1703</v>
      </c>
      <c r="K201" s="288"/>
      <c r="L201" s="288"/>
      <c r="M201" s="2"/>
      <c r="N201" s="2"/>
      <c r="O201" s="2"/>
      <c r="P201" s="2"/>
      <c r="Q201" s="2"/>
      <c r="R201" s="2"/>
      <c r="S201" s="2"/>
      <c r="T201" s="2"/>
      <c r="U201" s="2"/>
      <c r="V201" s="2"/>
      <c r="W201" s="2"/>
    </row>
    <row r="202" spans="1:23" customFormat="1" x14ac:dyDescent="0.3">
      <c r="A202" s="2"/>
      <c r="B202" s="2"/>
      <c r="C202" s="2"/>
      <c r="D202" s="2"/>
      <c r="E202" s="288" t="s">
        <v>1335</v>
      </c>
      <c r="F202" s="288"/>
      <c r="G202" s="119" t="s">
        <v>1320</v>
      </c>
      <c r="H202" s="119" t="s">
        <v>1321</v>
      </c>
      <c r="I202" s="119" t="s">
        <v>1174</v>
      </c>
      <c r="J202" s="119" t="s">
        <v>1502</v>
      </c>
      <c r="K202" s="119" t="s">
        <v>1157</v>
      </c>
      <c r="L202" s="119" t="s">
        <v>1409</v>
      </c>
      <c r="M202" s="2"/>
      <c r="N202" s="2"/>
      <c r="O202" s="2"/>
      <c r="P202" s="2"/>
      <c r="Q202" s="2"/>
      <c r="R202" s="2"/>
      <c r="S202" s="2"/>
      <c r="T202" s="2"/>
      <c r="U202" s="2"/>
      <c r="V202" s="2"/>
      <c r="W202" s="2"/>
    </row>
    <row r="203" spans="1:23" customFormat="1" x14ac:dyDescent="0.3">
      <c r="A203" s="2"/>
      <c r="B203" s="2"/>
      <c r="C203" s="2"/>
      <c r="D203" s="2"/>
      <c r="E203" s="288"/>
      <c r="F203" s="288"/>
      <c r="G203" s="288" t="s">
        <v>1475</v>
      </c>
      <c r="H203" s="288"/>
      <c r="I203" s="119" t="s">
        <v>1178</v>
      </c>
      <c r="J203" s="119" t="s">
        <v>1603</v>
      </c>
      <c r="K203" s="119" t="s">
        <v>1240</v>
      </c>
      <c r="L203" s="119" t="s">
        <v>1268</v>
      </c>
      <c r="M203" s="2"/>
      <c r="N203" s="2"/>
      <c r="O203" s="2"/>
      <c r="P203" s="2"/>
      <c r="Q203" s="2"/>
      <c r="R203" s="2"/>
      <c r="S203" s="2"/>
      <c r="T203" s="2"/>
      <c r="U203" s="2"/>
      <c r="V203" s="2"/>
      <c r="W203" s="2"/>
    </row>
    <row r="204" spans="1:23" customFormat="1" x14ac:dyDescent="0.3">
      <c r="A204" s="2"/>
      <c r="B204" s="2"/>
      <c r="C204" s="2"/>
      <c r="D204" s="2"/>
      <c r="E204" s="119" t="s">
        <v>1157</v>
      </c>
      <c r="F204" s="119" t="s">
        <v>1409</v>
      </c>
      <c r="G204" s="288"/>
      <c r="H204" s="288"/>
      <c r="I204" s="119" t="s">
        <v>1295</v>
      </c>
      <c r="J204" s="119" t="s">
        <v>1604</v>
      </c>
      <c r="K204" s="119" t="s">
        <v>1419</v>
      </c>
      <c r="L204" s="119" t="s">
        <v>1284</v>
      </c>
      <c r="M204" s="2"/>
      <c r="N204" s="2"/>
      <c r="O204" s="2"/>
      <c r="P204" s="2"/>
      <c r="Q204" s="2"/>
      <c r="R204" s="2"/>
      <c r="S204" s="2"/>
      <c r="T204" s="2"/>
      <c r="U204" s="2"/>
      <c r="V204" s="2"/>
      <c r="W204" s="2"/>
    </row>
    <row r="205" spans="1:23" customFormat="1" x14ac:dyDescent="0.3">
      <c r="A205" s="2"/>
      <c r="B205" s="2"/>
      <c r="C205" s="2"/>
      <c r="D205" s="2"/>
      <c r="E205" s="119" t="s">
        <v>1293</v>
      </c>
      <c r="F205" s="119" t="s">
        <v>1336</v>
      </c>
      <c r="G205" s="119" t="s">
        <v>1157</v>
      </c>
      <c r="H205" s="119" t="s">
        <v>1409</v>
      </c>
      <c r="I205" s="119" t="s">
        <v>1242</v>
      </c>
      <c r="J205" s="119" t="s">
        <v>1605</v>
      </c>
      <c r="K205" s="119" t="s">
        <v>1258</v>
      </c>
      <c r="L205" s="119" t="s">
        <v>1719</v>
      </c>
      <c r="M205" s="2"/>
      <c r="N205" s="2"/>
      <c r="O205" s="2"/>
      <c r="P205" s="2"/>
      <c r="Q205" s="2"/>
      <c r="R205" s="2"/>
      <c r="S205" s="2"/>
      <c r="T205" s="2"/>
      <c r="U205" s="2"/>
      <c r="V205" s="2"/>
      <c r="W205" s="2"/>
    </row>
    <row r="206" spans="1:23" customFormat="1" x14ac:dyDescent="0.3">
      <c r="A206" s="2"/>
      <c r="B206" s="2"/>
      <c r="C206" s="2"/>
      <c r="D206" s="2"/>
      <c r="E206" s="119" t="s">
        <v>1226</v>
      </c>
      <c r="F206" s="119" t="s">
        <v>1337</v>
      </c>
      <c r="G206" s="119" t="s">
        <v>1359</v>
      </c>
      <c r="H206" s="119" t="s">
        <v>1476</v>
      </c>
      <c r="I206" s="119" t="s">
        <v>1271</v>
      </c>
      <c r="J206" s="119" t="s">
        <v>1438</v>
      </c>
      <c r="K206" s="119" t="s">
        <v>1170</v>
      </c>
      <c r="L206" s="119" t="s">
        <v>1298</v>
      </c>
      <c r="M206" s="2"/>
      <c r="N206" s="2"/>
      <c r="O206" s="2"/>
      <c r="P206" s="2"/>
      <c r="Q206" s="2"/>
      <c r="R206" s="2"/>
      <c r="S206" s="2"/>
      <c r="T206" s="2"/>
      <c r="U206" s="2"/>
      <c r="V206" s="2"/>
      <c r="W206" s="2"/>
    </row>
    <row r="207" spans="1:23" customFormat="1" x14ac:dyDescent="0.3">
      <c r="A207" s="2"/>
      <c r="B207" s="2"/>
      <c r="C207" s="2"/>
      <c r="D207" s="2"/>
      <c r="E207" s="119" t="s">
        <v>1338</v>
      </c>
      <c r="F207" s="119" t="s">
        <v>1339</v>
      </c>
      <c r="G207" s="119" t="s">
        <v>1219</v>
      </c>
      <c r="H207" s="119" t="s">
        <v>1220</v>
      </c>
      <c r="I207" s="119" t="s">
        <v>1246</v>
      </c>
      <c r="J207" s="119" t="s">
        <v>1344</v>
      </c>
      <c r="K207" s="119" t="s">
        <v>1299</v>
      </c>
      <c r="L207" s="119" t="s">
        <v>1593</v>
      </c>
      <c r="M207" s="2"/>
      <c r="N207" s="2"/>
      <c r="O207" s="2"/>
      <c r="P207" s="2"/>
      <c r="Q207" s="2"/>
      <c r="R207" s="2"/>
      <c r="S207" s="2"/>
      <c r="T207" s="2"/>
      <c r="U207" s="2"/>
      <c r="V207" s="2"/>
      <c r="W207" s="2"/>
    </row>
    <row r="208" spans="1:23" customFormat="1" x14ac:dyDescent="0.3">
      <c r="A208" s="2"/>
      <c r="B208" s="2"/>
      <c r="C208" s="2"/>
      <c r="D208" s="2"/>
      <c r="E208" s="119" t="s">
        <v>1180</v>
      </c>
      <c r="F208" s="119" t="s">
        <v>1340</v>
      </c>
      <c r="G208" s="119" t="s">
        <v>1246</v>
      </c>
      <c r="H208" s="119" t="s">
        <v>1344</v>
      </c>
      <c r="I208" s="119" t="s">
        <v>1190</v>
      </c>
      <c r="J208" s="119" t="s">
        <v>1606</v>
      </c>
      <c r="K208" s="119" t="s">
        <v>1242</v>
      </c>
      <c r="L208" s="119" t="s">
        <v>1720</v>
      </c>
      <c r="M208" s="2"/>
      <c r="N208" s="2"/>
      <c r="O208" s="2"/>
      <c r="P208" s="2"/>
      <c r="Q208" s="2"/>
      <c r="R208" s="2"/>
      <c r="S208" s="2"/>
      <c r="T208" s="2"/>
      <c r="U208" s="2"/>
      <c r="V208" s="2"/>
      <c r="W208" s="2"/>
    </row>
    <row r="209" spans="1:23" customFormat="1" x14ac:dyDescent="0.3">
      <c r="A209" s="2"/>
      <c r="B209" s="2"/>
      <c r="C209" s="2"/>
      <c r="D209" s="2"/>
      <c r="E209" s="119" t="s">
        <v>1182</v>
      </c>
      <c r="F209" s="119" t="s">
        <v>1195</v>
      </c>
      <c r="G209" s="288" t="s">
        <v>1477</v>
      </c>
      <c r="H209" s="288"/>
      <c r="I209" s="288" t="s">
        <v>1607</v>
      </c>
      <c r="J209" s="288"/>
      <c r="K209" s="288" t="s">
        <v>1721</v>
      </c>
      <c r="L209" s="288"/>
      <c r="M209" s="2"/>
      <c r="N209" s="2"/>
      <c r="O209" s="2"/>
      <c r="P209" s="2"/>
      <c r="Q209" s="2"/>
      <c r="R209" s="2"/>
      <c r="S209" s="2"/>
      <c r="T209" s="2"/>
      <c r="U209" s="2"/>
      <c r="V209" s="2"/>
      <c r="W209" s="2"/>
    </row>
    <row r="210" spans="1:23" customFormat="1" x14ac:dyDescent="0.3">
      <c r="A210" s="2"/>
      <c r="B210" s="2"/>
      <c r="C210" s="2"/>
      <c r="D210" s="2"/>
      <c r="E210" s="119" t="s">
        <v>1184</v>
      </c>
      <c r="F210" s="119" t="s">
        <v>1185</v>
      </c>
      <c r="G210" s="288"/>
      <c r="H210" s="288"/>
      <c r="I210" s="288"/>
      <c r="J210" s="288"/>
      <c r="K210" s="288"/>
      <c r="L210" s="288"/>
      <c r="M210" s="2"/>
      <c r="N210" s="2"/>
      <c r="O210" s="2"/>
      <c r="P210" s="2"/>
      <c r="Q210" s="2"/>
      <c r="R210" s="2"/>
      <c r="S210" s="2"/>
      <c r="T210" s="2"/>
      <c r="U210" s="2"/>
      <c r="V210" s="2"/>
      <c r="W210" s="2"/>
    </row>
    <row r="211" spans="1:23" customFormat="1" x14ac:dyDescent="0.3">
      <c r="A211" s="2"/>
      <c r="B211" s="2"/>
      <c r="C211" s="2"/>
      <c r="D211" s="2"/>
      <c r="E211" s="288" t="s">
        <v>1341</v>
      </c>
      <c r="F211" s="288"/>
      <c r="G211" s="119" t="s">
        <v>1157</v>
      </c>
      <c r="H211" s="119" t="s">
        <v>1409</v>
      </c>
      <c r="I211" s="119" t="s">
        <v>1157</v>
      </c>
      <c r="J211" s="119" t="s">
        <v>1409</v>
      </c>
      <c r="K211" s="119" t="s">
        <v>1157</v>
      </c>
      <c r="L211" s="119" t="s">
        <v>1409</v>
      </c>
      <c r="M211" s="2"/>
      <c r="N211" s="2"/>
      <c r="O211" s="2"/>
      <c r="P211" s="2"/>
      <c r="Q211" s="2"/>
      <c r="R211" s="2"/>
      <c r="S211" s="2"/>
      <c r="T211" s="2"/>
      <c r="U211" s="2"/>
      <c r="V211" s="2"/>
      <c r="W211" s="2"/>
    </row>
    <row r="212" spans="1:23" customFormat="1" x14ac:dyDescent="0.3">
      <c r="A212" s="2"/>
      <c r="B212" s="2"/>
      <c r="C212" s="2"/>
      <c r="D212" s="2"/>
      <c r="E212" s="288"/>
      <c r="F212" s="288"/>
      <c r="G212" s="119" t="s">
        <v>1193</v>
      </c>
      <c r="H212" s="119" t="s">
        <v>1315</v>
      </c>
      <c r="I212" s="119" t="s">
        <v>1275</v>
      </c>
      <c r="J212" s="119" t="s">
        <v>1276</v>
      </c>
      <c r="K212" s="119" t="s">
        <v>1371</v>
      </c>
      <c r="L212" s="119" t="s">
        <v>1377</v>
      </c>
      <c r="M212" s="2"/>
      <c r="N212" s="2"/>
      <c r="O212" s="2"/>
      <c r="P212" s="2"/>
      <c r="Q212" s="2"/>
      <c r="R212" s="2"/>
      <c r="S212" s="2"/>
      <c r="T212" s="2"/>
      <c r="U212" s="2"/>
      <c r="V212" s="2"/>
      <c r="W212" s="2"/>
    </row>
    <row r="213" spans="1:23" customFormat="1" x14ac:dyDescent="0.3">
      <c r="A213" s="2"/>
      <c r="B213" s="2"/>
      <c r="C213" s="2"/>
      <c r="D213" s="2"/>
      <c r="E213" s="119" t="s">
        <v>1157</v>
      </c>
      <c r="F213" s="119" t="s">
        <v>1409</v>
      </c>
      <c r="G213" s="119" t="s">
        <v>1203</v>
      </c>
      <c r="H213" s="119" t="s">
        <v>1478</v>
      </c>
      <c r="I213" s="119" t="s">
        <v>1395</v>
      </c>
      <c r="J213" s="119" t="s">
        <v>1608</v>
      </c>
      <c r="K213" s="119" t="s">
        <v>1244</v>
      </c>
      <c r="L213" s="119" t="s">
        <v>1722</v>
      </c>
      <c r="M213" s="2"/>
      <c r="N213" s="2"/>
      <c r="O213" s="2"/>
      <c r="P213" s="2"/>
      <c r="Q213" s="2"/>
      <c r="R213" s="2"/>
      <c r="S213" s="2"/>
      <c r="T213" s="2"/>
      <c r="U213" s="2"/>
      <c r="V213" s="2"/>
      <c r="W213" s="2"/>
    </row>
    <row r="214" spans="1:23" customFormat="1" x14ac:dyDescent="0.3">
      <c r="A214" s="2"/>
      <c r="B214" s="2"/>
      <c r="C214" s="2"/>
      <c r="D214" s="2"/>
      <c r="E214" s="119" t="s">
        <v>1287</v>
      </c>
      <c r="F214" s="119" t="s">
        <v>1342</v>
      </c>
      <c r="G214" s="288" t="s">
        <v>1479</v>
      </c>
      <c r="H214" s="288"/>
      <c r="I214" s="119" t="s">
        <v>1200</v>
      </c>
      <c r="J214" s="119" t="s">
        <v>1609</v>
      </c>
      <c r="K214" s="288" t="s">
        <v>1723</v>
      </c>
      <c r="L214" s="288"/>
      <c r="M214" s="2"/>
      <c r="N214" s="2"/>
      <c r="O214" s="2"/>
      <c r="P214" s="2"/>
      <c r="Q214" s="2"/>
      <c r="R214" s="2"/>
      <c r="S214" s="2"/>
      <c r="T214" s="2"/>
      <c r="U214" s="2"/>
      <c r="V214" s="2"/>
      <c r="W214" s="2"/>
    </row>
    <row r="215" spans="1:23" customFormat="1" x14ac:dyDescent="0.3">
      <c r="A215" s="2"/>
      <c r="B215" s="2"/>
      <c r="C215" s="2"/>
      <c r="D215" s="2"/>
      <c r="E215" s="119" t="s">
        <v>1244</v>
      </c>
      <c r="F215" s="119" t="s">
        <v>1343</v>
      </c>
      <c r="G215" s="288"/>
      <c r="H215" s="288"/>
      <c r="I215" s="288" t="s">
        <v>1610</v>
      </c>
      <c r="J215" s="288"/>
      <c r="K215" s="288"/>
      <c r="L215" s="288"/>
      <c r="M215" s="2"/>
      <c r="N215" s="2"/>
      <c r="O215" s="2"/>
      <c r="P215" s="2"/>
      <c r="Q215" s="2"/>
      <c r="R215" s="2"/>
      <c r="S215" s="2"/>
      <c r="T215" s="2"/>
      <c r="U215" s="2"/>
      <c r="V215" s="2"/>
      <c r="W215" s="2"/>
    </row>
    <row r="216" spans="1:23" customFormat="1" x14ac:dyDescent="0.3">
      <c r="A216" s="2"/>
      <c r="B216" s="2"/>
      <c r="C216" s="2"/>
      <c r="D216" s="2"/>
      <c r="E216" s="119" t="s">
        <v>1246</v>
      </c>
      <c r="F216" s="119" t="s">
        <v>1344</v>
      </c>
      <c r="G216" s="119" t="s">
        <v>1157</v>
      </c>
      <c r="H216" s="119" t="s">
        <v>1409</v>
      </c>
      <c r="I216" s="288"/>
      <c r="J216" s="288"/>
      <c r="K216" s="119" t="s">
        <v>1157</v>
      </c>
      <c r="L216" s="119" t="s">
        <v>1409</v>
      </c>
      <c r="M216" s="2"/>
      <c r="N216" s="2"/>
      <c r="O216" s="2"/>
      <c r="P216" s="2"/>
      <c r="Q216" s="2"/>
      <c r="R216" s="2"/>
      <c r="S216" s="2"/>
      <c r="T216" s="2"/>
      <c r="U216" s="2"/>
      <c r="V216" s="2"/>
      <c r="W216" s="2"/>
    </row>
    <row r="217" spans="1:23" customFormat="1" x14ac:dyDescent="0.3">
      <c r="A217" s="2"/>
      <c r="B217" s="2"/>
      <c r="C217" s="2"/>
      <c r="D217" s="2"/>
      <c r="E217" s="288" t="s">
        <v>1345</v>
      </c>
      <c r="F217" s="288"/>
      <c r="G217" s="119" t="s">
        <v>1232</v>
      </c>
      <c r="H217" s="119" t="s">
        <v>1233</v>
      </c>
      <c r="I217" s="119" t="s">
        <v>1157</v>
      </c>
      <c r="J217" s="119" t="s">
        <v>1409</v>
      </c>
      <c r="K217" s="119" t="s">
        <v>1240</v>
      </c>
      <c r="L217" s="119" t="s">
        <v>1241</v>
      </c>
      <c r="M217" s="2"/>
      <c r="N217" s="2"/>
      <c r="O217" s="2"/>
      <c r="P217" s="2"/>
      <c r="Q217" s="2"/>
      <c r="R217" s="2"/>
      <c r="S217" s="2"/>
      <c r="T217" s="2"/>
      <c r="U217" s="2"/>
      <c r="V217" s="2"/>
      <c r="W217" s="2"/>
    </row>
    <row r="218" spans="1:23" customFormat="1" x14ac:dyDescent="0.3">
      <c r="A218" s="2"/>
      <c r="B218" s="2"/>
      <c r="C218" s="2"/>
      <c r="D218" s="2"/>
      <c r="E218" s="288"/>
      <c r="F218" s="288"/>
      <c r="G218" s="119" t="s">
        <v>1160</v>
      </c>
      <c r="H218" s="119" t="s">
        <v>1480</v>
      </c>
      <c r="I218" s="119" t="s">
        <v>1283</v>
      </c>
      <c r="J218" s="119" t="s">
        <v>1611</v>
      </c>
      <c r="K218" s="119" t="s">
        <v>1201</v>
      </c>
      <c r="L218" s="119" t="s">
        <v>1279</v>
      </c>
      <c r="M218" s="2"/>
      <c r="N218" s="2"/>
      <c r="O218" s="2"/>
      <c r="P218" s="2"/>
      <c r="Q218" s="2"/>
      <c r="R218" s="2"/>
      <c r="S218" s="2"/>
      <c r="T218" s="2"/>
      <c r="U218" s="2"/>
      <c r="V218" s="2"/>
      <c r="W218" s="2"/>
    </row>
    <row r="219" spans="1:23" customFormat="1" x14ac:dyDescent="0.3">
      <c r="A219" s="2"/>
      <c r="B219" s="2"/>
      <c r="C219" s="2"/>
      <c r="D219" s="2"/>
      <c r="E219" s="119" t="s">
        <v>1157</v>
      </c>
      <c r="F219" s="119" t="s">
        <v>1409</v>
      </c>
      <c r="G219" s="288" t="s">
        <v>1481</v>
      </c>
      <c r="H219" s="288"/>
      <c r="I219" s="119" t="s">
        <v>1419</v>
      </c>
      <c r="J219" s="119" t="s">
        <v>1420</v>
      </c>
      <c r="K219" s="288" t="s">
        <v>1724</v>
      </c>
      <c r="L219" s="288"/>
      <c r="M219" s="2"/>
      <c r="N219" s="2"/>
      <c r="O219" s="2"/>
      <c r="P219" s="2"/>
      <c r="Q219" s="2"/>
      <c r="R219" s="2"/>
      <c r="S219" s="2"/>
      <c r="T219" s="2"/>
      <c r="U219" s="2"/>
      <c r="V219" s="2"/>
      <c r="W219" s="2"/>
    </row>
    <row r="220" spans="1:23" customFormat="1" x14ac:dyDescent="0.3">
      <c r="A220" s="2"/>
      <c r="B220" s="2"/>
      <c r="C220" s="2"/>
      <c r="D220" s="2"/>
      <c r="E220" s="119" t="s">
        <v>1291</v>
      </c>
      <c r="F220" s="119" t="s">
        <v>1346</v>
      </c>
      <c r="G220" s="288"/>
      <c r="H220" s="288"/>
      <c r="I220" s="288" t="s">
        <v>1612</v>
      </c>
      <c r="J220" s="288"/>
      <c r="K220" s="288"/>
      <c r="L220" s="288"/>
      <c r="M220" s="2"/>
      <c r="N220" s="2"/>
      <c r="O220" s="2"/>
      <c r="P220" s="2"/>
      <c r="Q220" s="2"/>
      <c r="R220" s="2"/>
      <c r="S220" s="2"/>
      <c r="T220" s="2"/>
      <c r="U220" s="2"/>
      <c r="V220" s="2"/>
      <c r="W220" s="2"/>
    </row>
    <row r="221" spans="1:23" customFormat="1" x14ac:dyDescent="0.3">
      <c r="A221" s="2"/>
      <c r="B221" s="2"/>
      <c r="C221" s="2"/>
      <c r="D221" s="2"/>
      <c r="E221" s="119" t="s">
        <v>1224</v>
      </c>
      <c r="F221" s="119" t="s">
        <v>1347</v>
      </c>
      <c r="G221" s="119" t="s">
        <v>1157</v>
      </c>
      <c r="H221" s="119" t="s">
        <v>1409</v>
      </c>
      <c r="I221" s="288"/>
      <c r="J221" s="288"/>
      <c r="K221" s="119" t="s">
        <v>1157</v>
      </c>
      <c r="L221" s="119" t="s">
        <v>1409</v>
      </c>
      <c r="M221" s="2"/>
      <c r="N221" s="2"/>
      <c r="O221" s="2"/>
      <c r="P221" s="2"/>
      <c r="Q221" s="2"/>
      <c r="R221" s="2"/>
      <c r="S221" s="2"/>
      <c r="T221" s="2"/>
      <c r="U221" s="2"/>
      <c r="V221" s="2"/>
      <c r="W221" s="2"/>
    </row>
    <row r="222" spans="1:23" customFormat="1" x14ac:dyDescent="0.3">
      <c r="A222" s="2"/>
      <c r="B222" s="2"/>
      <c r="C222" s="2"/>
      <c r="D222" s="2"/>
      <c r="E222" s="119" t="s">
        <v>1299</v>
      </c>
      <c r="F222" s="119" t="s">
        <v>1348</v>
      </c>
      <c r="G222" s="119" t="s">
        <v>1411</v>
      </c>
      <c r="H222" s="119" t="s">
        <v>1412</v>
      </c>
      <c r="I222" s="119" t="s">
        <v>1157</v>
      </c>
      <c r="J222" s="119" t="s">
        <v>1409</v>
      </c>
      <c r="K222" s="119" t="s">
        <v>1244</v>
      </c>
      <c r="L222" s="119" t="s">
        <v>1725</v>
      </c>
      <c r="M222" s="2"/>
      <c r="N222" s="2"/>
      <c r="O222" s="2"/>
      <c r="P222" s="2"/>
      <c r="Q222" s="2"/>
      <c r="R222" s="2"/>
      <c r="S222" s="2"/>
      <c r="T222" s="2"/>
      <c r="U222" s="2"/>
      <c r="V222" s="2"/>
      <c r="W222" s="2"/>
    </row>
    <row r="223" spans="1:23" customFormat="1" x14ac:dyDescent="0.3">
      <c r="A223" s="2"/>
      <c r="B223" s="2"/>
      <c r="C223" s="2"/>
      <c r="D223" s="2"/>
      <c r="E223" s="119" t="s">
        <v>1246</v>
      </c>
      <c r="F223" s="119" t="s">
        <v>1349</v>
      </c>
      <c r="G223" s="119" t="s">
        <v>1216</v>
      </c>
      <c r="H223" s="119" t="s">
        <v>1217</v>
      </c>
      <c r="I223" s="119" t="s">
        <v>1200</v>
      </c>
      <c r="J223" s="119" t="s">
        <v>1307</v>
      </c>
      <c r="K223" s="119" t="s">
        <v>1246</v>
      </c>
      <c r="L223" s="119" t="s">
        <v>1484</v>
      </c>
      <c r="M223" s="2"/>
      <c r="N223" s="2"/>
      <c r="O223" s="2"/>
      <c r="P223" s="2"/>
      <c r="Q223" s="2"/>
      <c r="R223" s="2"/>
      <c r="S223" s="2"/>
      <c r="T223" s="2"/>
      <c r="U223" s="2"/>
      <c r="V223" s="2"/>
      <c r="W223" s="2"/>
    </row>
    <row r="224" spans="1:23" customFormat="1" x14ac:dyDescent="0.3">
      <c r="A224" s="2"/>
      <c r="B224" s="2"/>
      <c r="C224" s="2"/>
      <c r="D224" s="2"/>
      <c r="E224" s="288" t="s">
        <v>1350</v>
      </c>
      <c r="F224" s="288"/>
      <c r="G224" s="288" t="s">
        <v>1482</v>
      </c>
      <c r="H224" s="288"/>
      <c r="I224" s="119" t="s">
        <v>1224</v>
      </c>
      <c r="J224" s="119" t="s">
        <v>1317</v>
      </c>
      <c r="K224" s="288" t="s">
        <v>1726</v>
      </c>
      <c r="L224" s="288"/>
      <c r="M224" s="2"/>
      <c r="N224" s="2"/>
      <c r="O224" s="2"/>
      <c r="P224" s="2"/>
      <c r="Q224" s="2"/>
      <c r="R224" s="2"/>
      <c r="S224" s="2"/>
      <c r="T224" s="2"/>
      <c r="U224" s="2"/>
      <c r="V224" s="2"/>
      <c r="W224" s="2"/>
    </row>
    <row r="225" spans="1:23" customFormat="1" x14ac:dyDescent="0.3">
      <c r="A225" s="2"/>
      <c r="B225" s="2"/>
      <c r="C225" s="2"/>
      <c r="D225" s="2"/>
      <c r="E225" s="288"/>
      <c r="F225" s="288"/>
      <c r="G225" s="288"/>
      <c r="H225" s="288"/>
      <c r="I225" s="119" t="s">
        <v>1299</v>
      </c>
      <c r="J225" s="119" t="s">
        <v>1593</v>
      </c>
      <c r="K225" s="288"/>
      <c r="L225" s="288"/>
      <c r="M225" s="2"/>
      <c r="N225" s="2"/>
      <c r="O225" s="2"/>
      <c r="P225" s="2"/>
      <c r="Q225" s="2"/>
      <c r="R225" s="2"/>
      <c r="S225" s="2"/>
      <c r="T225" s="2"/>
      <c r="U225" s="2"/>
      <c r="V225" s="2"/>
      <c r="W225" s="2"/>
    </row>
    <row r="226" spans="1:23" customFormat="1" x14ac:dyDescent="0.3">
      <c r="A226" s="2"/>
      <c r="B226" s="2"/>
      <c r="C226" s="2"/>
      <c r="D226" s="2"/>
      <c r="E226" s="119" t="s">
        <v>1157</v>
      </c>
      <c r="F226" s="119" t="s">
        <v>1409</v>
      </c>
      <c r="G226" s="119" t="s">
        <v>1157</v>
      </c>
      <c r="H226" s="119" t="s">
        <v>1409</v>
      </c>
      <c r="I226" s="119" t="s">
        <v>1174</v>
      </c>
      <c r="J226" s="119" t="s">
        <v>1613</v>
      </c>
      <c r="K226" s="119" t="s">
        <v>1157</v>
      </c>
      <c r="L226" s="119" t="s">
        <v>1409</v>
      </c>
      <c r="M226" s="2"/>
      <c r="N226" s="2"/>
      <c r="O226" s="2"/>
      <c r="P226" s="2"/>
      <c r="Q226" s="2"/>
      <c r="R226" s="2"/>
      <c r="S226" s="2"/>
      <c r="T226" s="2"/>
      <c r="U226" s="2"/>
      <c r="V226" s="2"/>
      <c r="W226" s="2"/>
    </row>
    <row r="227" spans="1:23" customFormat="1" x14ac:dyDescent="0.3">
      <c r="A227" s="2"/>
      <c r="B227" s="2"/>
      <c r="C227" s="2"/>
      <c r="D227" s="2"/>
      <c r="E227" s="119" t="s">
        <v>1226</v>
      </c>
      <c r="F227" s="119" t="s">
        <v>1351</v>
      </c>
      <c r="G227" s="119" t="s">
        <v>1209</v>
      </c>
      <c r="H227" s="119" t="s">
        <v>1483</v>
      </c>
      <c r="I227" s="119" t="s">
        <v>1178</v>
      </c>
      <c r="J227" s="119" t="s">
        <v>1614</v>
      </c>
      <c r="K227" s="119" t="s">
        <v>1234</v>
      </c>
      <c r="L227" s="119" t="s">
        <v>1727</v>
      </c>
      <c r="M227" s="2"/>
      <c r="N227" s="2"/>
      <c r="O227" s="2"/>
      <c r="P227" s="2"/>
      <c r="Q227" s="2"/>
      <c r="R227" s="2"/>
      <c r="S227" s="2"/>
      <c r="T227" s="2"/>
      <c r="U227" s="2"/>
      <c r="V227" s="2"/>
      <c r="W227" s="2"/>
    </row>
    <row r="228" spans="1:23" customFormat="1" x14ac:dyDescent="0.3">
      <c r="A228" s="2"/>
      <c r="B228" s="2"/>
      <c r="C228" s="2"/>
      <c r="D228" s="2"/>
      <c r="E228" s="119" t="s">
        <v>1176</v>
      </c>
      <c r="F228" s="119" t="s">
        <v>1262</v>
      </c>
      <c r="G228" s="119" t="s">
        <v>1194</v>
      </c>
      <c r="H228" s="119" t="s">
        <v>1462</v>
      </c>
      <c r="I228" s="119" t="s">
        <v>1228</v>
      </c>
      <c r="J228" s="119" t="s">
        <v>1616</v>
      </c>
      <c r="K228" s="119" t="s">
        <v>1289</v>
      </c>
      <c r="L228" s="119" t="s">
        <v>1728</v>
      </c>
      <c r="M228" s="2"/>
      <c r="N228" s="2"/>
      <c r="O228" s="2"/>
      <c r="P228" s="2"/>
      <c r="Q228" s="2"/>
      <c r="R228" s="2"/>
      <c r="S228" s="2"/>
      <c r="T228" s="2"/>
      <c r="U228" s="2"/>
      <c r="V228" s="2"/>
      <c r="W228" s="2"/>
    </row>
    <row r="229" spans="1:23" customFormat="1" x14ac:dyDescent="0.3">
      <c r="A229" s="2"/>
      <c r="B229" s="2"/>
      <c r="C229" s="2"/>
      <c r="D229" s="2"/>
      <c r="E229" s="119" t="s">
        <v>1178</v>
      </c>
      <c r="F229" s="119" t="s">
        <v>1352</v>
      </c>
      <c r="G229" s="119" t="s">
        <v>1246</v>
      </c>
      <c r="H229" s="119" t="s">
        <v>1484</v>
      </c>
      <c r="I229" s="119" t="s">
        <v>1180</v>
      </c>
      <c r="J229" s="119" t="s">
        <v>1615</v>
      </c>
      <c r="K229" s="119" t="s">
        <v>1419</v>
      </c>
      <c r="L229" s="119" t="s">
        <v>1285</v>
      </c>
      <c r="M229" s="2"/>
      <c r="N229" s="2"/>
      <c r="O229" s="2"/>
      <c r="P229" s="2"/>
      <c r="Q229" s="2"/>
      <c r="R229" s="2"/>
      <c r="S229" s="2"/>
      <c r="T229" s="2"/>
      <c r="U229" s="2"/>
      <c r="V229" s="2"/>
      <c r="W229" s="2"/>
    </row>
    <row r="230" spans="1:23" customFormat="1" x14ac:dyDescent="0.3">
      <c r="A230" s="2"/>
      <c r="B230" s="2"/>
      <c r="C230" s="2"/>
      <c r="D230" s="2"/>
      <c r="E230" s="119" t="s">
        <v>1338</v>
      </c>
      <c r="F230" s="119" t="s">
        <v>1353</v>
      </c>
      <c r="G230" s="288" t="s">
        <v>1485</v>
      </c>
      <c r="H230" s="288"/>
      <c r="I230" s="119" t="s">
        <v>1186</v>
      </c>
      <c r="J230" s="119" t="s">
        <v>1388</v>
      </c>
      <c r="K230" s="119" t="s">
        <v>1201</v>
      </c>
      <c r="L230" s="119" t="s">
        <v>1285</v>
      </c>
      <c r="M230" s="2"/>
      <c r="N230" s="2"/>
      <c r="O230" s="2"/>
      <c r="P230" s="2"/>
      <c r="Q230" s="2"/>
      <c r="R230" s="2"/>
      <c r="S230" s="2"/>
      <c r="T230" s="2"/>
      <c r="U230" s="2"/>
      <c r="V230" s="2"/>
      <c r="W230" s="2"/>
    </row>
    <row r="231" spans="1:23" customFormat="1" x14ac:dyDescent="0.3">
      <c r="A231" s="2"/>
      <c r="B231" s="2"/>
      <c r="C231" s="2"/>
      <c r="D231" s="2"/>
      <c r="E231" s="119" t="s">
        <v>1228</v>
      </c>
      <c r="F231" s="119" t="s">
        <v>1354</v>
      </c>
      <c r="G231" s="288"/>
      <c r="H231" s="288"/>
      <c r="I231" s="119" t="s">
        <v>1190</v>
      </c>
      <c r="J231" s="119" t="s">
        <v>1617</v>
      </c>
      <c r="K231" s="119" t="s">
        <v>1203</v>
      </c>
      <c r="L231" s="119" t="s">
        <v>1729</v>
      </c>
      <c r="M231" s="2"/>
      <c r="N231" s="2"/>
      <c r="O231" s="2"/>
      <c r="P231" s="2"/>
      <c r="Q231" s="2"/>
      <c r="R231" s="2"/>
      <c r="S231" s="2"/>
      <c r="T231" s="2"/>
      <c r="U231" s="2"/>
      <c r="V231" s="2"/>
      <c r="W231" s="2"/>
    </row>
    <row r="232" spans="1:23" customFormat="1" x14ac:dyDescent="0.3">
      <c r="A232" s="2"/>
      <c r="B232" s="2"/>
      <c r="C232" s="2"/>
      <c r="D232" s="2"/>
      <c r="E232" s="288" t="s">
        <v>1355</v>
      </c>
      <c r="F232" s="288"/>
      <c r="G232" s="119" t="s">
        <v>1157</v>
      </c>
      <c r="H232" s="119" t="s">
        <v>1409</v>
      </c>
      <c r="I232" s="288" t="s">
        <v>1618</v>
      </c>
      <c r="J232" s="288"/>
      <c r="K232" s="119" t="s">
        <v>1207</v>
      </c>
      <c r="L232" s="119" t="s">
        <v>1730</v>
      </c>
      <c r="M232" s="2"/>
      <c r="N232" s="2"/>
      <c r="O232" s="2"/>
      <c r="P232" s="2"/>
      <c r="Q232" s="2"/>
      <c r="R232" s="2"/>
      <c r="S232" s="2"/>
      <c r="T232" s="2"/>
      <c r="U232" s="2"/>
      <c r="V232" s="2"/>
      <c r="W232" s="2"/>
    </row>
    <row r="233" spans="1:23" customFormat="1" x14ac:dyDescent="0.3">
      <c r="A233" s="2"/>
      <c r="B233" s="2"/>
      <c r="C233" s="2"/>
      <c r="D233" s="2"/>
      <c r="E233" s="288"/>
      <c r="F233" s="288"/>
      <c r="G233" s="119" t="s">
        <v>1275</v>
      </c>
      <c r="H233" s="119" t="s">
        <v>1486</v>
      </c>
      <c r="I233" s="288"/>
      <c r="J233" s="288"/>
      <c r="K233" s="119" t="s">
        <v>1174</v>
      </c>
      <c r="L233" s="119" t="s">
        <v>1731</v>
      </c>
      <c r="M233" s="2"/>
      <c r="N233" s="2"/>
      <c r="O233" s="2"/>
      <c r="P233" s="2"/>
      <c r="Q233" s="2"/>
      <c r="R233" s="2"/>
      <c r="S233" s="2"/>
      <c r="T233" s="2"/>
      <c r="U233" s="2"/>
      <c r="V233" s="2"/>
      <c r="W233" s="2"/>
    </row>
    <row r="234" spans="1:23" customFormat="1" x14ac:dyDescent="0.3">
      <c r="A234" s="2"/>
      <c r="B234" s="2"/>
      <c r="C234" s="2"/>
      <c r="D234" s="2"/>
      <c r="E234" s="119" t="s">
        <v>1157</v>
      </c>
      <c r="F234" s="119" t="s">
        <v>1409</v>
      </c>
      <c r="G234" s="119" t="s">
        <v>1244</v>
      </c>
      <c r="H234" s="119" t="s">
        <v>1487</v>
      </c>
      <c r="I234" s="119" t="s">
        <v>1157</v>
      </c>
      <c r="J234" s="119" t="s">
        <v>1409</v>
      </c>
      <c r="K234" s="119" t="s">
        <v>1242</v>
      </c>
      <c r="L234" s="119" t="s">
        <v>1583</v>
      </c>
      <c r="M234" s="2"/>
      <c r="N234" s="2"/>
      <c r="O234" s="2"/>
      <c r="P234" s="2"/>
      <c r="Q234" s="2"/>
      <c r="R234" s="2"/>
      <c r="S234" s="2"/>
      <c r="T234" s="2"/>
      <c r="U234" s="2"/>
      <c r="V234" s="2"/>
      <c r="W234" s="2"/>
    </row>
    <row r="235" spans="1:23" customFormat="1" x14ac:dyDescent="0.3">
      <c r="A235" s="2"/>
      <c r="B235" s="2"/>
      <c r="C235" s="2"/>
      <c r="D235" s="2"/>
      <c r="E235" s="119" t="s">
        <v>1322</v>
      </c>
      <c r="F235" s="119" t="s">
        <v>1356</v>
      </c>
      <c r="G235" s="288" t="s">
        <v>1488</v>
      </c>
      <c r="H235" s="288"/>
      <c r="I235" s="119" t="s">
        <v>1200</v>
      </c>
      <c r="J235" s="119" t="s">
        <v>1619</v>
      </c>
      <c r="K235" s="119" t="s">
        <v>1180</v>
      </c>
      <c r="L235" s="119" t="s">
        <v>1732</v>
      </c>
      <c r="M235" s="2"/>
      <c r="N235" s="2"/>
      <c r="O235" s="2"/>
      <c r="P235" s="2"/>
      <c r="Q235" s="2"/>
      <c r="R235" s="2"/>
      <c r="S235" s="2"/>
      <c r="T235" s="2"/>
      <c r="U235" s="2"/>
      <c r="V235" s="2"/>
      <c r="W235" s="2"/>
    </row>
    <row r="236" spans="1:23" customFormat="1" x14ac:dyDescent="0.3">
      <c r="A236" s="2"/>
      <c r="B236" s="2"/>
      <c r="C236" s="2"/>
      <c r="D236" s="2"/>
      <c r="E236" s="119" t="s">
        <v>1322</v>
      </c>
      <c r="F236" s="119" t="s">
        <v>1357</v>
      </c>
      <c r="G236" s="288"/>
      <c r="H236" s="288"/>
      <c r="I236" s="119" t="s">
        <v>1280</v>
      </c>
      <c r="J236" s="119" t="s">
        <v>1281</v>
      </c>
      <c r="K236" s="119" t="s">
        <v>1322</v>
      </c>
      <c r="L236" s="119" t="s">
        <v>1733</v>
      </c>
      <c r="M236" s="2"/>
      <c r="N236" s="2"/>
      <c r="O236" s="2"/>
      <c r="P236" s="2"/>
      <c r="Q236" s="2"/>
      <c r="R236" s="2"/>
      <c r="S236" s="2"/>
      <c r="T236" s="2"/>
      <c r="U236" s="2"/>
      <c r="V236" s="2"/>
      <c r="W236" s="2"/>
    </row>
    <row r="237" spans="1:23" customFormat="1" x14ac:dyDescent="0.3">
      <c r="A237" s="2"/>
      <c r="B237" s="2"/>
      <c r="C237" s="2"/>
      <c r="D237" s="2"/>
      <c r="E237" s="288" t="s">
        <v>1358</v>
      </c>
      <c r="F237" s="288"/>
      <c r="G237" s="119" t="s">
        <v>1157</v>
      </c>
      <c r="H237" s="119" t="s">
        <v>1409</v>
      </c>
      <c r="I237" s="119" t="s">
        <v>1216</v>
      </c>
      <c r="J237" s="119" t="s">
        <v>1217</v>
      </c>
      <c r="K237" s="288" t="s">
        <v>1734</v>
      </c>
      <c r="L237" s="288"/>
      <c r="M237" s="2"/>
      <c r="N237" s="2"/>
      <c r="O237" s="2"/>
      <c r="P237" s="2"/>
      <c r="Q237" s="2"/>
      <c r="R237" s="2"/>
      <c r="S237" s="2"/>
      <c r="T237" s="2"/>
      <c r="U237" s="2"/>
      <c r="V237" s="2"/>
      <c r="W237" s="2"/>
    </row>
    <row r="238" spans="1:23" customFormat="1" x14ac:dyDescent="0.3">
      <c r="A238" s="2"/>
      <c r="B238" s="2"/>
      <c r="C238" s="2"/>
      <c r="D238" s="2"/>
      <c r="E238" s="288"/>
      <c r="F238" s="288"/>
      <c r="G238" s="119" t="s">
        <v>1371</v>
      </c>
      <c r="H238" s="119" t="s">
        <v>1489</v>
      </c>
      <c r="I238" s="288" t="s">
        <v>1620</v>
      </c>
      <c r="J238" s="288"/>
      <c r="K238" s="288"/>
      <c r="L238" s="288"/>
      <c r="M238" s="2"/>
      <c r="N238" s="2"/>
      <c r="O238" s="2"/>
      <c r="P238" s="2"/>
      <c r="Q238" s="2"/>
      <c r="R238" s="2"/>
      <c r="S238" s="2"/>
      <c r="T238" s="2"/>
      <c r="U238" s="2"/>
      <c r="V238" s="2"/>
      <c r="W238" s="2"/>
    </row>
    <row r="239" spans="1:23" customFormat="1" x14ac:dyDescent="0.3">
      <c r="A239" s="2"/>
      <c r="B239" s="2"/>
      <c r="C239" s="2"/>
      <c r="D239" s="2"/>
      <c r="E239" s="119" t="s">
        <v>1157</v>
      </c>
      <c r="F239" s="119" t="s">
        <v>1409</v>
      </c>
      <c r="G239" s="119" t="s">
        <v>1258</v>
      </c>
      <c r="H239" s="119" t="s">
        <v>1490</v>
      </c>
      <c r="I239" s="288"/>
      <c r="J239" s="288"/>
      <c r="K239" s="119" t="s">
        <v>1157</v>
      </c>
      <c r="L239" s="119" t="s">
        <v>1409</v>
      </c>
      <c r="M239" s="2"/>
      <c r="N239" s="2"/>
      <c r="O239" s="2"/>
      <c r="P239" s="2"/>
      <c r="Q239" s="2"/>
      <c r="R239" s="2"/>
      <c r="S239" s="2"/>
      <c r="T239" s="2"/>
      <c r="U239" s="2"/>
      <c r="V239" s="2"/>
      <c r="W239" s="2"/>
    </row>
    <row r="240" spans="1:23" customFormat="1" x14ac:dyDescent="0.3">
      <c r="A240" s="2"/>
      <c r="B240" s="2"/>
      <c r="C240" s="2"/>
      <c r="D240" s="2"/>
      <c r="E240" s="119" t="s">
        <v>1359</v>
      </c>
      <c r="F240" s="119" t="s">
        <v>1360</v>
      </c>
      <c r="G240" s="119" t="s">
        <v>1159</v>
      </c>
      <c r="H240" s="119" t="s">
        <v>1491</v>
      </c>
      <c r="I240" s="119" t="s">
        <v>1157</v>
      </c>
      <c r="J240" s="119" t="s">
        <v>1409</v>
      </c>
      <c r="K240" s="119" t="s">
        <v>1411</v>
      </c>
      <c r="L240" s="119" t="s">
        <v>1735</v>
      </c>
      <c r="M240" s="2"/>
      <c r="N240" s="2"/>
      <c r="O240" s="2"/>
      <c r="P240" s="2"/>
      <c r="Q240" s="2"/>
      <c r="R240" s="2"/>
      <c r="S240" s="2"/>
      <c r="T240" s="2"/>
      <c r="U240" s="2"/>
      <c r="V240" s="2"/>
      <c r="W240" s="2"/>
    </row>
    <row r="241" spans="1:23" customFormat="1" x14ac:dyDescent="0.3">
      <c r="A241" s="2"/>
      <c r="B241" s="2"/>
      <c r="C241" s="2"/>
      <c r="D241" s="2"/>
      <c r="E241" s="119" t="s">
        <v>1158</v>
      </c>
      <c r="F241" s="119" t="s">
        <v>1361</v>
      </c>
      <c r="G241" s="119" t="s">
        <v>1244</v>
      </c>
      <c r="H241" s="119" t="s">
        <v>1245</v>
      </c>
      <c r="I241" s="119" t="s">
        <v>1371</v>
      </c>
      <c r="J241" s="119" t="s">
        <v>1759</v>
      </c>
      <c r="K241" s="119" t="s">
        <v>1226</v>
      </c>
      <c r="L241" s="119" t="s">
        <v>1736</v>
      </c>
      <c r="M241" s="2"/>
      <c r="N241" s="2"/>
      <c r="O241" s="2"/>
      <c r="P241" s="2"/>
      <c r="Q241" s="2"/>
      <c r="R241" s="2"/>
      <c r="S241" s="2"/>
      <c r="T241" s="2"/>
      <c r="U241" s="2"/>
      <c r="V241" s="2"/>
      <c r="W241" s="2"/>
    </row>
    <row r="242" spans="1:23" customFormat="1" x14ac:dyDescent="0.3">
      <c r="A242" s="2"/>
      <c r="B242" s="2"/>
      <c r="C242" s="2"/>
      <c r="D242" s="2"/>
      <c r="E242" s="119" t="s">
        <v>1170</v>
      </c>
      <c r="F242" s="119" t="s">
        <v>1362</v>
      </c>
      <c r="G242" s="119" t="s">
        <v>1330</v>
      </c>
      <c r="H242" s="119" t="s">
        <v>1492</v>
      </c>
      <c r="I242" s="119" t="s">
        <v>1289</v>
      </c>
      <c r="J242" s="119" t="s">
        <v>1621</v>
      </c>
      <c r="K242" s="119" t="s">
        <v>1271</v>
      </c>
      <c r="L242" s="119" t="s">
        <v>1737</v>
      </c>
      <c r="M242" s="2"/>
      <c r="N242" s="2"/>
      <c r="O242" s="2"/>
      <c r="P242" s="2"/>
      <c r="Q242" s="2"/>
      <c r="R242" s="2"/>
      <c r="S242" s="2"/>
      <c r="T242" s="2"/>
      <c r="U242" s="2"/>
      <c r="V242" s="2"/>
      <c r="W242" s="2"/>
    </row>
    <row r="243" spans="1:23" customFormat="1" x14ac:dyDescent="0.3">
      <c r="A243" s="2"/>
      <c r="B243" s="2"/>
      <c r="C243" s="2"/>
      <c r="D243" s="2"/>
      <c r="E243" s="119" t="s">
        <v>1174</v>
      </c>
      <c r="F243" s="119" t="s">
        <v>1270</v>
      </c>
      <c r="G243" s="288" t="s">
        <v>1493</v>
      </c>
      <c r="H243" s="288"/>
      <c r="I243" s="119" t="s">
        <v>1320</v>
      </c>
      <c r="J243" s="119" t="s">
        <v>1622</v>
      </c>
      <c r="K243" s="119" t="s">
        <v>1209</v>
      </c>
      <c r="L243" s="119" t="s">
        <v>1738</v>
      </c>
      <c r="M243" s="2"/>
      <c r="N243" s="2"/>
      <c r="O243" s="2"/>
      <c r="P243" s="2"/>
      <c r="Q243" s="2"/>
      <c r="R243" s="2"/>
      <c r="S243" s="2"/>
      <c r="T243" s="2"/>
      <c r="U243" s="2"/>
      <c r="V243" s="2"/>
      <c r="W243" s="2"/>
    </row>
    <row r="244" spans="1:23" customFormat="1" x14ac:dyDescent="0.3">
      <c r="A244" s="2"/>
      <c r="B244" s="2"/>
      <c r="C244" s="2"/>
      <c r="D244" s="2"/>
      <c r="E244" s="119" t="s">
        <v>1209</v>
      </c>
      <c r="F244" s="119" t="s">
        <v>1363</v>
      </c>
      <c r="G244" s="288"/>
      <c r="H244" s="288"/>
      <c r="I244" s="288" t="s">
        <v>1623</v>
      </c>
      <c r="J244" s="288"/>
      <c r="K244" s="119" t="s">
        <v>1190</v>
      </c>
      <c r="L244" s="119" t="s">
        <v>1739</v>
      </c>
      <c r="M244" s="2"/>
      <c r="N244" s="2"/>
      <c r="O244" s="2"/>
      <c r="P244" s="2"/>
      <c r="Q244" s="2"/>
      <c r="R244" s="2"/>
      <c r="S244" s="2"/>
      <c r="T244" s="2"/>
      <c r="U244" s="2"/>
      <c r="V244" s="2"/>
      <c r="W244" s="2"/>
    </row>
    <row r="245" spans="1:23" customFormat="1" x14ac:dyDescent="0.3">
      <c r="A245" s="2"/>
      <c r="B245" s="2"/>
      <c r="C245" s="2"/>
      <c r="D245" s="2"/>
      <c r="E245" s="119" t="s">
        <v>1180</v>
      </c>
      <c r="F245" s="119" t="s">
        <v>1181</v>
      </c>
      <c r="G245" s="119" t="s">
        <v>1157</v>
      </c>
      <c r="H245" s="119" t="s">
        <v>1409</v>
      </c>
      <c r="I245" s="288"/>
      <c r="J245" s="288"/>
      <c r="K245" s="119" t="s">
        <v>1248</v>
      </c>
      <c r="L245" s="119" t="s">
        <v>1429</v>
      </c>
      <c r="M245" s="2"/>
      <c r="N245" s="2"/>
      <c r="O245" s="2"/>
      <c r="P245" s="2"/>
      <c r="Q245" s="2"/>
      <c r="R245" s="2"/>
      <c r="S245" s="2"/>
      <c r="T245" s="2"/>
      <c r="U245" s="2"/>
      <c r="V245" s="2"/>
      <c r="W245" s="2"/>
    </row>
    <row r="246" spans="1:23" customFormat="1" x14ac:dyDescent="0.3">
      <c r="A246" s="2"/>
      <c r="B246" s="2"/>
      <c r="C246" s="2"/>
      <c r="D246" s="2"/>
      <c r="E246" s="119" t="s">
        <v>1186</v>
      </c>
      <c r="F246" s="119" t="s">
        <v>1364</v>
      </c>
      <c r="G246" s="119" t="s">
        <v>1205</v>
      </c>
      <c r="H246" s="119" t="s">
        <v>1494</v>
      </c>
      <c r="I246" s="119" t="s">
        <v>1157</v>
      </c>
      <c r="J246" s="119" t="s">
        <v>1409</v>
      </c>
      <c r="K246" s="288" t="s">
        <v>1740</v>
      </c>
      <c r="L246" s="288"/>
      <c r="M246" s="2"/>
      <c r="N246" s="2"/>
      <c r="O246" s="2"/>
      <c r="P246" s="2"/>
      <c r="Q246" s="2"/>
      <c r="R246" s="2"/>
      <c r="S246" s="2"/>
      <c r="T246" s="2"/>
      <c r="U246" s="2"/>
      <c r="V246" s="2"/>
      <c r="W246" s="2"/>
    </row>
    <row r="247" spans="1:23" customFormat="1" x14ac:dyDescent="0.3">
      <c r="A247" s="2"/>
      <c r="B247" s="2"/>
      <c r="C247" s="2"/>
      <c r="D247" s="2"/>
      <c r="E247" s="119" t="s">
        <v>1188</v>
      </c>
      <c r="F247" s="119" t="s">
        <v>1365</v>
      </c>
      <c r="G247" s="119" t="s">
        <v>1322</v>
      </c>
      <c r="H247" s="119" t="s">
        <v>1495</v>
      </c>
      <c r="I247" s="119" t="s">
        <v>1219</v>
      </c>
      <c r="J247" s="119" t="s">
        <v>1624</v>
      </c>
      <c r="K247" s="288"/>
      <c r="L247" s="288"/>
      <c r="M247" s="2"/>
      <c r="N247" s="2"/>
      <c r="O247" s="2"/>
      <c r="P247" s="2"/>
      <c r="Q247" s="2"/>
      <c r="R247" s="2"/>
      <c r="S247" s="2"/>
      <c r="T247" s="2"/>
      <c r="U247" s="2"/>
      <c r="V247" s="2"/>
      <c r="W247" s="2"/>
    </row>
    <row r="248" spans="1:23" customFormat="1" x14ac:dyDescent="0.3">
      <c r="A248" s="2"/>
      <c r="B248" s="2"/>
      <c r="C248" s="2"/>
      <c r="D248" s="2"/>
      <c r="E248" s="288" t="s">
        <v>1367</v>
      </c>
      <c r="F248" s="288"/>
      <c r="G248" s="288" t="s">
        <v>1496</v>
      </c>
      <c r="H248" s="288"/>
      <c r="I248" s="119" t="s">
        <v>1203</v>
      </c>
      <c r="J248" s="119" t="s">
        <v>1502</v>
      </c>
      <c r="K248" s="119" t="s">
        <v>1157</v>
      </c>
      <c r="L248" s="119" t="s">
        <v>1409</v>
      </c>
      <c r="M248" s="2"/>
      <c r="N248" s="2"/>
      <c r="O248" s="2"/>
      <c r="P248" s="2"/>
      <c r="Q248" s="2"/>
      <c r="R248" s="2"/>
      <c r="S248" s="2"/>
      <c r="T248" s="2"/>
      <c r="U248" s="2"/>
      <c r="V248" s="2"/>
      <c r="W248" s="2"/>
    </row>
    <row r="249" spans="1:23" customFormat="1" x14ac:dyDescent="0.3">
      <c r="A249" s="2"/>
      <c r="B249" s="2"/>
      <c r="C249" s="2"/>
      <c r="D249" s="2"/>
      <c r="E249" s="288"/>
      <c r="F249" s="288"/>
      <c r="G249" s="288"/>
      <c r="H249" s="288"/>
      <c r="I249" s="119" t="s">
        <v>1291</v>
      </c>
      <c r="J249" s="119" t="s">
        <v>1625</v>
      </c>
      <c r="K249" s="119" t="s">
        <v>1275</v>
      </c>
      <c r="L249" s="119" t="s">
        <v>1276</v>
      </c>
      <c r="M249" s="2"/>
      <c r="N249" s="2"/>
      <c r="O249" s="2"/>
      <c r="P249" s="2"/>
      <c r="Q249" s="2"/>
      <c r="R249" s="2"/>
      <c r="S249" s="2"/>
      <c r="T249" s="2"/>
      <c r="U249" s="2"/>
      <c r="V249" s="2"/>
      <c r="W249" s="2"/>
    </row>
    <row r="250" spans="1:23" customFormat="1" x14ac:dyDescent="0.3">
      <c r="A250" s="2"/>
      <c r="B250" s="2"/>
      <c r="C250" s="2"/>
      <c r="D250" s="2"/>
      <c r="E250" s="119" t="s">
        <v>1157</v>
      </c>
      <c r="F250" s="119" t="s">
        <v>1409</v>
      </c>
      <c r="G250" s="119" t="s">
        <v>1157</v>
      </c>
      <c r="H250" s="119" t="s">
        <v>1409</v>
      </c>
      <c r="I250" s="119" t="s">
        <v>1165</v>
      </c>
      <c r="J250" s="119" t="s">
        <v>1626</v>
      </c>
      <c r="K250" s="119" t="s">
        <v>1248</v>
      </c>
      <c r="L250" s="119" t="s">
        <v>1741</v>
      </c>
      <c r="M250" s="2"/>
      <c r="N250" s="2"/>
      <c r="O250" s="2"/>
      <c r="P250" s="2"/>
      <c r="Q250" s="2"/>
      <c r="R250" s="2"/>
      <c r="S250" s="2"/>
      <c r="T250" s="2"/>
      <c r="U250" s="2"/>
      <c r="V250" s="2"/>
      <c r="W250" s="2"/>
    </row>
    <row r="251" spans="1:23" customFormat="1" x14ac:dyDescent="0.3">
      <c r="A251" s="2"/>
      <c r="B251" s="2"/>
      <c r="C251" s="2"/>
      <c r="D251" s="2"/>
      <c r="E251" s="119" t="s">
        <v>1326</v>
      </c>
      <c r="F251" s="119" t="s">
        <v>1368</v>
      </c>
      <c r="G251" s="119" t="s">
        <v>1326</v>
      </c>
      <c r="H251" s="119" t="s">
        <v>1497</v>
      </c>
      <c r="I251" s="119" t="s">
        <v>1280</v>
      </c>
      <c r="J251" s="119" t="s">
        <v>1627</v>
      </c>
      <c r="K251" s="288" t="s">
        <v>1742</v>
      </c>
      <c r="L251" s="288"/>
      <c r="M251" s="2"/>
      <c r="N251" s="2"/>
      <c r="O251" s="2"/>
      <c r="P251" s="2"/>
      <c r="Q251" s="2"/>
      <c r="R251" s="2"/>
      <c r="S251" s="2"/>
      <c r="T251" s="2"/>
      <c r="U251" s="2"/>
      <c r="V251" s="2"/>
      <c r="W251" s="2"/>
    </row>
    <row r="252" spans="1:23" customFormat="1" x14ac:dyDescent="0.3">
      <c r="A252" s="2"/>
      <c r="B252" s="2"/>
      <c r="C252" s="2"/>
      <c r="D252" s="2"/>
      <c r="E252" s="119" t="s">
        <v>1291</v>
      </c>
      <c r="F252" s="119" t="s">
        <v>1369</v>
      </c>
      <c r="G252" s="119" t="s">
        <v>1246</v>
      </c>
      <c r="H252" s="119" t="s">
        <v>1498</v>
      </c>
      <c r="I252" s="119" t="s">
        <v>1226</v>
      </c>
      <c r="J252" s="119" t="s">
        <v>1628</v>
      </c>
      <c r="K252" s="288"/>
      <c r="L252" s="288"/>
      <c r="M252" s="2"/>
      <c r="N252" s="2"/>
      <c r="O252" s="2"/>
      <c r="P252" s="2"/>
      <c r="Q252" s="2"/>
      <c r="R252" s="2"/>
      <c r="S252" s="2"/>
      <c r="T252" s="2"/>
      <c r="U252" s="2"/>
      <c r="V252" s="2"/>
      <c r="W252" s="2"/>
    </row>
    <row r="253" spans="1:23" customFormat="1" x14ac:dyDescent="0.3">
      <c r="A253" s="2"/>
      <c r="B253" s="2"/>
      <c r="C253" s="2"/>
      <c r="D253" s="2"/>
      <c r="E253" s="288" t="s">
        <v>1370</v>
      </c>
      <c r="F253" s="288"/>
      <c r="G253" s="288" t="s">
        <v>1499</v>
      </c>
      <c r="H253" s="288"/>
      <c r="I253" s="119" t="s">
        <v>1271</v>
      </c>
      <c r="J253" s="119" t="s">
        <v>1629</v>
      </c>
      <c r="K253" s="119" t="s">
        <v>1157</v>
      </c>
      <c r="L253" s="119" t="s">
        <v>1409</v>
      </c>
      <c r="M253" s="2"/>
      <c r="N253" s="2"/>
      <c r="O253" s="2"/>
      <c r="P253" s="2"/>
      <c r="Q253" s="2"/>
      <c r="R253" s="2"/>
      <c r="S253" s="2"/>
      <c r="T253" s="2"/>
      <c r="U253" s="2"/>
      <c r="V253" s="2"/>
      <c r="W253" s="2"/>
    </row>
    <row r="254" spans="1:23" customFormat="1" x14ac:dyDescent="0.3">
      <c r="A254" s="2"/>
      <c r="B254" s="2"/>
      <c r="C254" s="2"/>
      <c r="D254" s="2"/>
      <c r="E254" s="288"/>
      <c r="F254" s="288"/>
      <c r="G254" s="288"/>
      <c r="H254" s="288"/>
      <c r="I254" s="119" t="s">
        <v>1186</v>
      </c>
      <c r="J254" s="119" t="s">
        <v>1630</v>
      </c>
      <c r="K254" s="119" t="s">
        <v>1371</v>
      </c>
      <c r="L254" s="119" t="s">
        <v>1377</v>
      </c>
      <c r="M254" s="2"/>
      <c r="N254" s="2"/>
      <c r="O254" s="2"/>
      <c r="P254" s="2"/>
      <c r="Q254" s="2"/>
      <c r="R254" s="2"/>
      <c r="S254" s="2"/>
      <c r="T254" s="2"/>
      <c r="U254" s="2"/>
      <c r="V254" s="2"/>
      <c r="W254" s="2"/>
    </row>
    <row r="255" spans="1:23" customFormat="1" x14ac:dyDescent="0.3">
      <c r="A255" s="2"/>
      <c r="B255" s="2"/>
      <c r="C255" s="2"/>
      <c r="D255" s="2"/>
      <c r="E255" s="119" t="s">
        <v>1157</v>
      </c>
      <c r="F255" s="119" t="s">
        <v>1409</v>
      </c>
      <c r="G255" s="119" t="s">
        <v>1157</v>
      </c>
      <c r="H255" s="119" t="s">
        <v>1409</v>
      </c>
      <c r="I255" s="119" t="s">
        <v>1190</v>
      </c>
      <c r="J255" s="119" t="s">
        <v>1631</v>
      </c>
      <c r="K255" s="119" t="s">
        <v>1232</v>
      </c>
      <c r="L255" s="119" t="s">
        <v>1233</v>
      </c>
      <c r="M255" s="2"/>
      <c r="N255" s="2"/>
      <c r="O255" s="2"/>
      <c r="P255" s="2"/>
      <c r="Q255" s="2"/>
      <c r="R255" s="2"/>
      <c r="S255" s="2"/>
      <c r="T255" s="2"/>
      <c r="U255" s="2"/>
      <c r="V255" s="2"/>
      <c r="W255" s="2"/>
    </row>
    <row r="256" spans="1:23" customFormat="1" x14ac:dyDescent="0.3">
      <c r="A256" s="2"/>
      <c r="B256" s="2"/>
      <c r="C256" s="2"/>
      <c r="D256" s="2"/>
      <c r="E256" s="119" t="s">
        <v>1371</v>
      </c>
      <c r="F256" s="119" t="s">
        <v>1372</v>
      </c>
      <c r="G256" s="119" t="s">
        <v>1180</v>
      </c>
      <c r="H256" s="119" t="s">
        <v>1500</v>
      </c>
      <c r="I256" s="119" t="s">
        <v>1248</v>
      </c>
      <c r="J256" s="119" t="s">
        <v>1453</v>
      </c>
      <c r="K256" s="119" t="s">
        <v>1234</v>
      </c>
      <c r="L256" s="119" t="s">
        <v>1383</v>
      </c>
      <c r="M256" s="2"/>
      <c r="N256" s="2"/>
      <c r="O256" s="2"/>
      <c r="P256" s="2"/>
      <c r="Q256" s="2"/>
      <c r="R256" s="2"/>
      <c r="S256" s="2"/>
      <c r="T256" s="2"/>
      <c r="U256" s="2"/>
      <c r="V256" s="2"/>
      <c r="W256" s="2"/>
    </row>
    <row r="257" spans="1:23" customFormat="1" x14ac:dyDescent="0.3">
      <c r="A257" s="2"/>
      <c r="B257" s="2"/>
      <c r="C257" s="2"/>
      <c r="D257" s="2"/>
      <c r="E257" s="119" t="s">
        <v>1232</v>
      </c>
      <c r="F257" s="119" t="s">
        <v>1373</v>
      </c>
      <c r="G257" s="119" t="s">
        <v>1188</v>
      </c>
      <c r="H257" s="119" t="s">
        <v>1441</v>
      </c>
      <c r="I257" s="288" t="s">
        <v>1632</v>
      </c>
      <c r="J257" s="288"/>
      <c r="K257" s="119" t="s">
        <v>1236</v>
      </c>
      <c r="L257" s="119" t="s">
        <v>1599</v>
      </c>
      <c r="M257" s="2"/>
      <c r="N257" s="2"/>
      <c r="O257" s="2"/>
      <c r="P257" s="2"/>
      <c r="Q257" s="2"/>
      <c r="R257" s="2"/>
      <c r="S257" s="2"/>
      <c r="T257" s="2"/>
      <c r="U257" s="2"/>
      <c r="V257" s="2"/>
      <c r="W257" s="2"/>
    </row>
    <row r="258" spans="1:23" customFormat="1" x14ac:dyDescent="0.3">
      <c r="A258" s="2"/>
      <c r="B258" s="2"/>
      <c r="C258" s="2"/>
      <c r="D258" s="2"/>
      <c r="E258" s="288" t="s">
        <v>1374</v>
      </c>
      <c r="F258" s="288"/>
      <c r="G258" s="288" t="s">
        <v>1501</v>
      </c>
      <c r="H258" s="288"/>
      <c r="I258" s="288"/>
      <c r="J258" s="288"/>
      <c r="K258" s="119" t="s">
        <v>1395</v>
      </c>
      <c r="L258" s="119" t="s">
        <v>1743</v>
      </c>
      <c r="M258" s="2"/>
      <c r="N258" s="2"/>
      <c r="O258" s="2"/>
      <c r="P258" s="2"/>
      <c r="Q258" s="2"/>
      <c r="R258" s="2"/>
      <c r="S258" s="2"/>
      <c r="T258" s="2"/>
      <c r="U258" s="2"/>
      <c r="V258" s="2"/>
      <c r="W258" s="2"/>
    </row>
    <row r="259" spans="1:23" customFormat="1" x14ac:dyDescent="0.3">
      <c r="A259" s="2"/>
      <c r="B259" s="2"/>
      <c r="C259" s="2"/>
      <c r="D259" s="2"/>
      <c r="E259" s="288"/>
      <c r="F259" s="288"/>
      <c r="G259" s="288"/>
      <c r="H259" s="288"/>
      <c r="I259" s="119" t="s">
        <v>1157</v>
      </c>
      <c r="J259" s="119" t="s">
        <v>1409</v>
      </c>
      <c r="K259" s="119" t="s">
        <v>1198</v>
      </c>
      <c r="L259" s="119" t="s">
        <v>1199</v>
      </c>
      <c r="M259" s="2"/>
      <c r="N259" s="2"/>
      <c r="O259" s="2"/>
      <c r="P259" s="2"/>
      <c r="Q259" s="2"/>
      <c r="R259" s="2"/>
      <c r="S259" s="2"/>
      <c r="T259" s="2"/>
      <c r="U259" s="2"/>
      <c r="V259" s="2"/>
      <c r="W259" s="2"/>
    </row>
    <row r="260" spans="1:23" customFormat="1" x14ac:dyDescent="0.3">
      <c r="A260" s="2"/>
      <c r="B260" s="2"/>
      <c r="C260" s="2"/>
      <c r="D260" s="2"/>
      <c r="E260" s="119" t="s">
        <v>1157</v>
      </c>
      <c r="F260" s="119" t="s">
        <v>1409</v>
      </c>
      <c r="G260" s="119" t="s">
        <v>1157</v>
      </c>
      <c r="H260" s="119" t="s">
        <v>1409</v>
      </c>
      <c r="I260" s="119" t="s">
        <v>1167</v>
      </c>
      <c r="J260" s="119" t="s">
        <v>1524</v>
      </c>
      <c r="K260" s="119" t="s">
        <v>1224</v>
      </c>
      <c r="L260" s="119" t="s">
        <v>1562</v>
      </c>
      <c r="M260" s="2"/>
      <c r="N260" s="2"/>
      <c r="O260" s="2"/>
      <c r="P260" s="2"/>
      <c r="Q260" s="2"/>
      <c r="R260" s="2"/>
      <c r="S260" s="2"/>
      <c r="T260" s="2"/>
      <c r="U260" s="2"/>
      <c r="V260" s="2"/>
      <c r="W260" s="2"/>
    </row>
    <row r="261" spans="1:23" customFormat="1" x14ac:dyDescent="0.3">
      <c r="A261" s="2"/>
      <c r="B261" s="2"/>
      <c r="C261" s="2"/>
      <c r="D261" s="2"/>
      <c r="E261" s="119" t="s">
        <v>1338</v>
      </c>
      <c r="F261" s="119" t="s">
        <v>1375</v>
      </c>
      <c r="G261" s="119" t="s">
        <v>1203</v>
      </c>
      <c r="H261" s="119" t="s">
        <v>1502</v>
      </c>
      <c r="I261" s="119" t="s">
        <v>1170</v>
      </c>
      <c r="J261" s="119" t="s">
        <v>1298</v>
      </c>
      <c r="K261" s="119" t="s">
        <v>1159</v>
      </c>
      <c r="L261" s="119" t="s">
        <v>1334</v>
      </c>
      <c r="M261" s="2"/>
      <c r="N261" s="2"/>
      <c r="O261" s="2"/>
      <c r="P261" s="2"/>
      <c r="Q261" s="2"/>
      <c r="R261" s="2"/>
      <c r="S261" s="2"/>
      <c r="T261" s="2"/>
      <c r="U261" s="2"/>
      <c r="V261" s="2"/>
      <c r="W261" s="2"/>
    </row>
    <row r="262" spans="1:23" customFormat="1" x14ac:dyDescent="0.3">
      <c r="A262" s="2"/>
      <c r="B262" s="2"/>
      <c r="C262" s="2"/>
      <c r="D262" s="2"/>
      <c r="E262" s="119" t="s">
        <v>1228</v>
      </c>
      <c r="F262" s="119" t="s">
        <v>1308</v>
      </c>
      <c r="G262" s="119" t="s">
        <v>1207</v>
      </c>
      <c r="H262" s="119" t="s">
        <v>1260</v>
      </c>
      <c r="I262" s="288" t="s">
        <v>1633</v>
      </c>
      <c r="J262" s="288"/>
      <c r="K262" s="288" t="s">
        <v>1744</v>
      </c>
      <c r="L262" s="288"/>
      <c r="M262" s="2"/>
      <c r="N262" s="2"/>
      <c r="O262" s="2"/>
      <c r="P262" s="2"/>
      <c r="Q262" s="2"/>
      <c r="R262" s="2"/>
      <c r="S262" s="2"/>
      <c r="T262" s="2"/>
      <c r="U262" s="2"/>
      <c r="V262" s="2"/>
      <c r="W262" s="2"/>
    </row>
    <row r="263" spans="1:23" customFormat="1" x14ac:dyDescent="0.3">
      <c r="A263" s="2"/>
      <c r="B263" s="2"/>
      <c r="C263" s="2"/>
      <c r="D263" s="2"/>
      <c r="E263" s="288" t="s">
        <v>1376</v>
      </c>
      <c r="F263" s="288"/>
      <c r="G263" s="119" t="s">
        <v>1338</v>
      </c>
      <c r="H263" s="119" t="s">
        <v>1437</v>
      </c>
      <c r="I263" s="288"/>
      <c r="J263" s="288"/>
      <c r="K263" s="288"/>
      <c r="L263" s="288"/>
      <c r="M263" s="2"/>
      <c r="N263" s="2"/>
      <c r="O263" s="2"/>
      <c r="P263" s="2"/>
      <c r="Q263" s="2"/>
      <c r="R263" s="2"/>
      <c r="S263" s="2"/>
      <c r="T263" s="2"/>
      <c r="U263" s="2"/>
      <c r="V263" s="2"/>
      <c r="W263" s="2"/>
    </row>
    <row r="264" spans="1:23" customFormat="1" x14ac:dyDescent="0.3">
      <c r="A264" s="2"/>
      <c r="B264" s="2"/>
      <c r="C264" s="2"/>
      <c r="D264" s="2"/>
      <c r="E264" s="288"/>
      <c r="F264" s="288"/>
      <c r="G264" s="120" t="s">
        <v>1194</v>
      </c>
      <c r="H264" s="119" t="s">
        <v>1444</v>
      </c>
      <c r="I264" s="119" t="s">
        <v>1157</v>
      </c>
      <c r="J264" s="119" t="s">
        <v>1409</v>
      </c>
      <c r="K264" s="119" t="s">
        <v>1157</v>
      </c>
      <c r="L264" s="119" t="s">
        <v>1409</v>
      </c>
      <c r="M264" s="2"/>
      <c r="N264" s="2"/>
      <c r="O264" s="2"/>
      <c r="P264" s="2"/>
      <c r="Q264" s="2"/>
      <c r="R264" s="2"/>
      <c r="S264" s="2"/>
      <c r="T264" s="2"/>
      <c r="U264" s="2"/>
      <c r="V264" s="2"/>
      <c r="W264" s="2"/>
    </row>
    <row r="265" spans="1:23" customFormat="1" x14ac:dyDescent="0.3">
      <c r="A265" s="2"/>
      <c r="B265" s="2"/>
      <c r="C265" s="2"/>
      <c r="D265" s="2"/>
      <c r="E265" s="119" t="s">
        <v>1157</v>
      </c>
      <c r="F265" s="119" t="s">
        <v>1409</v>
      </c>
      <c r="G265" s="120" t="s">
        <v>1190</v>
      </c>
      <c r="H265" s="119" t="s">
        <v>1503</v>
      </c>
      <c r="I265" s="119" t="s">
        <v>1371</v>
      </c>
      <c r="J265" s="119" t="s">
        <v>1635</v>
      </c>
      <c r="K265" s="119" t="s">
        <v>1165</v>
      </c>
      <c r="L265" s="119" t="s">
        <v>1292</v>
      </c>
      <c r="M265" s="2"/>
      <c r="N265" s="2"/>
      <c r="O265" s="2"/>
      <c r="P265" s="2"/>
      <c r="Q265" s="2"/>
      <c r="R265" s="2"/>
      <c r="S265" s="2"/>
      <c r="T265" s="2"/>
      <c r="U265" s="2"/>
      <c r="V265" s="2"/>
      <c r="W265" s="2"/>
    </row>
    <row r="266" spans="1:23" customFormat="1" x14ac:dyDescent="0.3">
      <c r="A266" s="2"/>
      <c r="B266" s="2"/>
      <c r="C266" s="2"/>
      <c r="D266" s="2"/>
      <c r="E266" s="119" t="s">
        <v>1371</v>
      </c>
      <c r="F266" s="119" t="s">
        <v>1377</v>
      </c>
      <c r="G266" s="14"/>
      <c r="H266" s="14"/>
      <c r="I266" s="119" t="s">
        <v>1236</v>
      </c>
      <c r="J266" s="119" t="s">
        <v>1634</v>
      </c>
      <c r="K266" s="119" t="s">
        <v>1186</v>
      </c>
      <c r="L266" s="119" t="s">
        <v>1745</v>
      </c>
      <c r="M266" s="2"/>
      <c r="N266" s="2"/>
      <c r="O266" s="2"/>
      <c r="P266" s="2"/>
      <c r="Q266" s="2"/>
      <c r="R266" s="2"/>
      <c r="S266" s="2"/>
      <c r="T266" s="2"/>
      <c r="U266" s="2"/>
      <c r="V266" s="2"/>
      <c r="W266" s="2"/>
    </row>
    <row r="267" spans="1:23" customFormat="1" x14ac:dyDescent="0.3">
      <c r="A267" s="2"/>
      <c r="B267" s="2"/>
      <c r="C267" s="2"/>
      <c r="D267" s="2"/>
      <c r="E267" s="119" t="s">
        <v>1232</v>
      </c>
      <c r="F267" s="119" t="s">
        <v>1233</v>
      </c>
      <c r="G267" s="14"/>
      <c r="H267" s="14"/>
      <c r="I267" s="119" t="s">
        <v>1198</v>
      </c>
      <c r="J267" s="119" t="s">
        <v>1636</v>
      </c>
      <c r="K267" s="288" t="s">
        <v>1746</v>
      </c>
      <c r="L267" s="288"/>
      <c r="M267" s="2"/>
      <c r="N267" s="2"/>
      <c r="O267" s="2"/>
      <c r="P267" s="2"/>
      <c r="Q267" s="2"/>
      <c r="R267" s="2"/>
      <c r="S267" s="2"/>
      <c r="T267" s="2"/>
      <c r="U267" s="2"/>
      <c r="V267" s="2"/>
      <c r="W267" s="2"/>
    </row>
    <row r="268" spans="1:23" customFormat="1" x14ac:dyDescent="0.3">
      <c r="A268" s="2"/>
      <c r="B268" s="2"/>
      <c r="C268" s="2"/>
      <c r="D268" s="2"/>
      <c r="E268" s="119" t="s">
        <v>1234</v>
      </c>
      <c r="F268" s="119" t="s">
        <v>1378</v>
      </c>
      <c r="G268" s="14"/>
      <c r="H268" s="14"/>
      <c r="I268" s="119" t="s">
        <v>1256</v>
      </c>
      <c r="J268" s="119" t="s">
        <v>1619</v>
      </c>
      <c r="K268" s="288"/>
      <c r="L268" s="288"/>
      <c r="M268" s="2"/>
      <c r="N268" s="2"/>
      <c r="O268" s="2"/>
      <c r="P268" s="2"/>
      <c r="Q268" s="2"/>
      <c r="R268" s="2"/>
      <c r="S268" s="2"/>
      <c r="T268" s="2"/>
      <c r="U268" s="2"/>
      <c r="V268" s="2"/>
      <c r="W268" s="2"/>
    </row>
    <row r="269" spans="1:23" customFormat="1" x14ac:dyDescent="0.3">
      <c r="A269" s="2"/>
      <c r="B269" s="2"/>
      <c r="C269" s="2"/>
      <c r="D269" s="2"/>
      <c r="E269" s="119" t="s">
        <v>1236</v>
      </c>
      <c r="F269" s="119" t="s">
        <v>1237</v>
      </c>
      <c r="G269" s="14"/>
      <c r="H269" s="14"/>
      <c r="I269" s="119" t="s">
        <v>1295</v>
      </c>
      <c r="J269" s="119" t="s">
        <v>1637</v>
      </c>
      <c r="K269" s="119" t="s">
        <v>1157</v>
      </c>
      <c r="L269" s="119" t="s">
        <v>1409</v>
      </c>
      <c r="M269" s="2"/>
      <c r="N269" s="2"/>
      <c r="O269" s="2"/>
      <c r="P269" s="2"/>
      <c r="Q269" s="2"/>
      <c r="R269" s="2"/>
      <c r="S269" s="2"/>
      <c r="T269" s="2"/>
      <c r="U269" s="2"/>
      <c r="V269" s="2"/>
      <c r="W269" s="2"/>
    </row>
    <row r="270" spans="1:23" customFormat="1" x14ac:dyDescent="0.3">
      <c r="A270" s="2"/>
      <c r="B270" s="2"/>
      <c r="C270" s="2"/>
      <c r="D270" s="2"/>
      <c r="E270" s="119" t="s">
        <v>1167</v>
      </c>
      <c r="F270" s="119" t="s">
        <v>1379</v>
      </c>
      <c r="G270" s="14"/>
      <c r="H270" s="14"/>
      <c r="I270" s="288" t="s">
        <v>1638</v>
      </c>
      <c r="J270" s="288"/>
      <c r="K270" s="119" t="s">
        <v>1411</v>
      </c>
      <c r="L270" s="119" t="s">
        <v>1412</v>
      </c>
      <c r="M270" s="2"/>
      <c r="N270" s="2"/>
      <c r="O270" s="2"/>
      <c r="P270" s="2"/>
      <c r="Q270" s="2"/>
      <c r="R270" s="2"/>
      <c r="S270" s="2"/>
      <c r="T270" s="2"/>
      <c r="U270" s="2"/>
      <c r="V270" s="2"/>
      <c r="W270" s="2"/>
    </row>
    <row r="271" spans="1:23" customFormat="1" x14ac:dyDescent="0.3">
      <c r="A271" s="2"/>
      <c r="B271" s="2"/>
      <c r="C271" s="2"/>
      <c r="D271" s="2"/>
      <c r="E271" s="12"/>
      <c r="F271" s="14"/>
      <c r="G271" s="14"/>
      <c r="H271" s="14"/>
      <c r="I271" s="288"/>
      <c r="J271" s="288"/>
      <c r="K271" s="119" t="s">
        <v>1226</v>
      </c>
      <c r="L271" s="119" t="s">
        <v>1337</v>
      </c>
      <c r="M271" s="2"/>
      <c r="N271" s="2"/>
      <c r="O271" s="2"/>
      <c r="P271" s="2"/>
      <c r="Q271" s="2"/>
      <c r="R271" s="2"/>
      <c r="S271" s="2"/>
      <c r="T271" s="2"/>
      <c r="U271" s="2"/>
      <c r="V271" s="2"/>
      <c r="W271" s="2"/>
    </row>
    <row r="272" spans="1:23" customFormat="1" x14ac:dyDescent="0.3">
      <c r="A272" s="2"/>
      <c r="B272" s="2"/>
      <c r="C272" s="2"/>
      <c r="D272" s="2"/>
      <c r="E272" s="12"/>
      <c r="F272" s="14"/>
      <c r="G272" s="14"/>
      <c r="H272" s="14"/>
      <c r="I272" s="119" t="s">
        <v>1157</v>
      </c>
      <c r="J272" s="119" t="s">
        <v>1409</v>
      </c>
      <c r="K272" s="119" t="s">
        <v>1182</v>
      </c>
      <c r="L272" s="119" t="s">
        <v>1272</v>
      </c>
      <c r="M272" s="2"/>
      <c r="N272" s="2"/>
      <c r="O272" s="2"/>
      <c r="P272" s="2"/>
      <c r="Q272" s="2"/>
      <c r="R272" s="2"/>
      <c r="S272" s="2"/>
      <c r="T272" s="2"/>
      <c r="U272" s="2"/>
      <c r="V272" s="2"/>
      <c r="W272" s="2"/>
    </row>
    <row r="273" spans="1:23" customFormat="1" x14ac:dyDescent="0.3">
      <c r="A273" s="2"/>
      <c r="B273" s="2"/>
      <c r="C273" s="2"/>
      <c r="D273" s="2"/>
      <c r="E273" s="12"/>
      <c r="F273" s="14"/>
      <c r="G273" s="14"/>
      <c r="H273" s="14"/>
      <c r="I273" s="119" t="s">
        <v>1411</v>
      </c>
      <c r="J273" s="119" t="s">
        <v>1639</v>
      </c>
      <c r="K273" s="119" t="s">
        <v>1248</v>
      </c>
      <c r="L273" s="119" t="s">
        <v>1747</v>
      </c>
      <c r="M273" s="2"/>
      <c r="N273" s="2"/>
      <c r="O273" s="2"/>
      <c r="P273" s="2"/>
      <c r="Q273" s="2"/>
      <c r="R273" s="2"/>
      <c r="S273" s="2"/>
      <c r="T273" s="2"/>
      <c r="U273" s="2"/>
      <c r="V273" s="2"/>
      <c r="W273" s="2"/>
    </row>
    <row r="274" spans="1:23" customFormat="1" x14ac:dyDescent="0.3">
      <c r="A274" s="2"/>
      <c r="B274" s="2"/>
      <c r="C274" s="2"/>
      <c r="D274" s="2"/>
      <c r="E274" s="12"/>
      <c r="F274" s="14"/>
      <c r="G274" s="14"/>
      <c r="H274" s="14"/>
      <c r="I274" s="119" t="s">
        <v>1172</v>
      </c>
      <c r="J274" s="119" t="s">
        <v>1450</v>
      </c>
      <c r="K274" s="14"/>
      <c r="L274" s="15"/>
      <c r="M274" s="2"/>
      <c r="N274" s="2"/>
      <c r="O274" s="2"/>
      <c r="P274" s="2"/>
      <c r="Q274" s="2"/>
      <c r="R274" s="2"/>
      <c r="S274" s="2"/>
      <c r="T274" s="2"/>
      <c r="U274" s="2"/>
      <c r="V274" s="2"/>
      <c r="W274" s="2"/>
    </row>
    <row r="275" spans="1:23" customFormat="1" x14ac:dyDescent="0.3">
      <c r="A275" s="2"/>
      <c r="B275" s="2"/>
      <c r="C275" s="2"/>
      <c r="D275" s="2"/>
      <c r="E275" s="12"/>
      <c r="F275" s="14"/>
      <c r="G275" s="14"/>
      <c r="H275" s="14"/>
      <c r="I275" s="119" t="s">
        <v>1188</v>
      </c>
      <c r="J275" s="119" t="s">
        <v>1640</v>
      </c>
      <c r="K275" s="14"/>
      <c r="L275" s="15"/>
      <c r="M275" s="2"/>
      <c r="N275" s="2"/>
      <c r="O275" s="2"/>
      <c r="P275" s="2"/>
      <c r="Q275" s="2"/>
      <c r="R275" s="2"/>
      <c r="S275" s="2"/>
      <c r="T275" s="2"/>
      <c r="U275" s="2"/>
      <c r="V275" s="2"/>
      <c r="W275" s="2"/>
    </row>
    <row r="276" spans="1:23" customFormat="1" x14ac:dyDescent="0.3">
      <c r="A276" s="2"/>
      <c r="B276" s="2"/>
      <c r="C276" s="2"/>
      <c r="D276" s="2"/>
      <c r="E276" s="12"/>
      <c r="F276" s="14"/>
      <c r="G276" s="14"/>
      <c r="H276" s="14"/>
      <c r="I276" s="119" t="s">
        <v>1330</v>
      </c>
      <c r="J276" s="119" t="s">
        <v>1641</v>
      </c>
      <c r="K276" s="14"/>
      <c r="L276" s="15"/>
      <c r="M276" s="2"/>
      <c r="N276" s="2"/>
      <c r="O276" s="2"/>
      <c r="P276" s="2"/>
      <c r="Q276" s="2"/>
      <c r="R276" s="2"/>
      <c r="S276" s="2"/>
      <c r="T276" s="2"/>
      <c r="U276" s="2"/>
      <c r="V276" s="2"/>
      <c r="W276" s="2"/>
    </row>
    <row r="277" spans="1:23" customFormat="1" x14ac:dyDescent="0.3">
      <c r="A277" s="2"/>
      <c r="B277" s="2"/>
      <c r="C277" s="2"/>
      <c r="D277" s="2"/>
      <c r="E277" s="12"/>
      <c r="F277" s="14"/>
      <c r="G277" s="14"/>
      <c r="H277" s="14"/>
      <c r="I277" s="14"/>
      <c r="J277" s="14"/>
      <c r="K277" s="14"/>
      <c r="L277" s="15"/>
      <c r="M277" s="2"/>
      <c r="N277" s="2"/>
      <c r="O277" s="2"/>
      <c r="P277" s="2"/>
      <c r="Q277" s="2"/>
      <c r="R277" s="2"/>
      <c r="S277" s="2"/>
      <c r="T277" s="2"/>
      <c r="U277" s="2"/>
      <c r="V277" s="2"/>
      <c r="W277" s="2"/>
    </row>
    <row r="278" spans="1:23" customFormat="1" x14ac:dyDescent="0.3">
      <c r="A278" s="2"/>
      <c r="B278" s="2"/>
      <c r="C278" s="2"/>
      <c r="D278" s="2"/>
      <c r="E278" s="16"/>
      <c r="F278" s="17"/>
      <c r="G278" s="17"/>
      <c r="H278" s="17"/>
      <c r="I278" s="17"/>
      <c r="J278" s="17"/>
      <c r="K278" s="17"/>
      <c r="L278" s="18"/>
      <c r="M278" s="2"/>
      <c r="N278" s="2"/>
      <c r="O278" s="2"/>
      <c r="P278" s="2"/>
      <c r="Q278" s="2"/>
      <c r="R278" s="2"/>
      <c r="S278" s="2"/>
      <c r="T278" s="2"/>
      <c r="U278" s="2"/>
      <c r="V278" s="2"/>
      <c r="W278" s="2"/>
    </row>
    <row r="279" spans="1:23" customFormat="1" x14ac:dyDescent="0.3">
      <c r="A279" s="2"/>
      <c r="B279" s="2"/>
      <c r="C279" s="2"/>
      <c r="D279" s="2"/>
      <c r="E279" s="2"/>
      <c r="F279" s="2"/>
      <c r="G279" s="2"/>
      <c r="H279" s="2"/>
      <c r="I279" s="2"/>
      <c r="J279" s="2"/>
      <c r="K279" s="2"/>
      <c r="L279" s="2"/>
      <c r="M279" s="2"/>
      <c r="N279" s="2"/>
      <c r="O279" s="2"/>
      <c r="P279" s="2"/>
      <c r="Q279" s="2"/>
      <c r="R279" s="2"/>
      <c r="S279" s="2"/>
      <c r="T279" s="2"/>
    </row>
    <row r="280" spans="1:23" customFormat="1" x14ac:dyDescent="0.3">
      <c r="A280" s="2"/>
      <c r="B280" s="2"/>
      <c r="C280" s="2"/>
      <c r="D280" s="2"/>
      <c r="E280" s="2"/>
      <c r="F280" s="2"/>
      <c r="G280" s="2"/>
      <c r="H280" s="2"/>
      <c r="I280" s="2"/>
      <c r="J280" s="2"/>
      <c r="K280" s="2"/>
      <c r="L280" s="2"/>
      <c r="M280" s="2"/>
      <c r="N280" s="2"/>
      <c r="O280" s="2"/>
      <c r="P280" s="2"/>
      <c r="Q280" s="2"/>
      <c r="R280" s="2"/>
      <c r="S280" s="2"/>
      <c r="T280" s="2"/>
    </row>
    <row r="281" spans="1:23" customFormat="1" x14ac:dyDescent="0.3">
      <c r="A281" s="2"/>
      <c r="B281" s="2"/>
      <c r="C281" s="2"/>
      <c r="D281" s="2"/>
      <c r="E281" s="2"/>
      <c r="F281" s="2"/>
      <c r="G281" s="2"/>
      <c r="H281" s="2"/>
      <c r="I281" s="2"/>
      <c r="J281" s="2"/>
      <c r="K281" s="2"/>
      <c r="L281" s="2"/>
      <c r="M281" s="2"/>
      <c r="N281" s="2"/>
      <c r="O281" s="2"/>
      <c r="P281" s="2"/>
      <c r="Q281" s="2"/>
      <c r="R281" s="2"/>
      <c r="S281" s="2"/>
      <c r="T281" s="2"/>
    </row>
    <row r="282" spans="1:23" customFormat="1" x14ac:dyDescent="0.3">
      <c r="A282" s="2"/>
      <c r="B282" s="121" t="s">
        <v>1748</v>
      </c>
      <c r="C282" s="121" t="s">
        <v>1749</v>
      </c>
      <c r="D282" s="122" t="s">
        <v>1750</v>
      </c>
      <c r="E282" s="122" t="s">
        <v>1751</v>
      </c>
      <c r="F282" s="122" t="s">
        <v>1752</v>
      </c>
      <c r="G282" s="122" t="s">
        <v>1753</v>
      </c>
      <c r="H282" s="122" t="s">
        <v>1754</v>
      </c>
      <c r="I282" s="122" t="s">
        <v>1755</v>
      </c>
      <c r="J282" s="122" t="s">
        <v>1756</v>
      </c>
      <c r="K282" s="123" t="s">
        <v>1757</v>
      </c>
      <c r="L282" s="2"/>
      <c r="M282" s="2"/>
      <c r="N282" s="2"/>
      <c r="O282" s="2"/>
      <c r="P282" s="2"/>
      <c r="Q282" s="2"/>
      <c r="R282" s="2"/>
      <c r="S282" s="2"/>
      <c r="T282" s="2"/>
    </row>
    <row r="283" spans="1:23" customFormat="1" x14ac:dyDescent="0.3">
      <c r="A283" s="2"/>
      <c r="B283" s="142" t="s">
        <v>1591</v>
      </c>
      <c r="C283" s="91">
        <v>4</v>
      </c>
      <c r="D283" s="91">
        <v>4</v>
      </c>
      <c r="E283" s="91">
        <v>1</v>
      </c>
      <c r="F283" s="91">
        <v>3</v>
      </c>
      <c r="G283" s="91">
        <f t="shared" ref="G283:G314" si="4">$C283-($E283+$F283)</f>
        <v>0</v>
      </c>
      <c r="H283" s="91">
        <v>4</v>
      </c>
      <c r="I283" s="91">
        <f t="shared" ref="I283:I314" si="5">$D283-$H283</f>
        <v>0</v>
      </c>
      <c r="J283" s="143">
        <f t="shared" ref="J283:J314" si="6">$H283/$D283</f>
        <v>1</v>
      </c>
      <c r="K283" s="143">
        <f t="shared" ref="K283:K314" si="7">$I283/$D283</f>
        <v>0</v>
      </c>
      <c r="L283" s="2"/>
      <c r="M283" s="124"/>
      <c r="N283" s="144" t="s">
        <v>1766</v>
      </c>
      <c r="O283" s="125"/>
      <c r="P283" s="2"/>
      <c r="Q283" s="104" t="s">
        <v>1765</v>
      </c>
      <c r="R283" s="105" t="s">
        <v>1763</v>
      </c>
      <c r="S283" s="105" t="s">
        <v>1764</v>
      </c>
      <c r="T283" s="2"/>
    </row>
    <row r="284" spans="1:23" customFormat="1" x14ac:dyDescent="0.3">
      <c r="A284" s="2"/>
      <c r="B284" s="142" t="s">
        <v>1646</v>
      </c>
      <c r="C284" s="91">
        <v>4</v>
      </c>
      <c r="D284" s="91">
        <v>4</v>
      </c>
      <c r="E284" s="91">
        <v>1</v>
      </c>
      <c r="F284" s="91">
        <v>2</v>
      </c>
      <c r="G284" s="91">
        <f t="shared" si="4"/>
        <v>1</v>
      </c>
      <c r="H284" s="91">
        <v>4</v>
      </c>
      <c r="I284" s="91">
        <f t="shared" si="5"/>
        <v>0</v>
      </c>
      <c r="J284" s="143">
        <f t="shared" si="6"/>
        <v>1</v>
      </c>
      <c r="K284" s="143">
        <f t="shared" si="7"/>
        <v>0</v>
      </c>
      <c r="L284" s="2"/>
      <c r="M284" s="104" t="s">
        <v>1748</v>
      </c>
      <c r="N284" s="105" t="s">
        <v>1761</v>
      </c>
      <c r="O284" s="105" t="s">
        <v>1762</v>
      </c>
      <c r="P284" s="2"/>
      <c r="Q284" s="100" t="s">
        <v>1156</v>
      </c>
      <c r="R284" s="124">
        <v>3</v>
      </c>
      <c r="S284" s="101">
        <v>3</v>
      </c>
      <c r="T284" s="2"/>
    </row>
    <row r="285" spans="1:23" customFormat="1" x14ac:dyDescent="0.3">
      <c r="A285" s="2"/>
      <c r="B285" s="142" t="s">
        <v>1156</v>
      </c>
      <c r="C285" s="91">
        <v>3</v>
      </c>
      <c r="D285" s="91">
        <v>3</v>
      </c>
      <c r="E285" s="91">
        <v>2</v>
      </c>
      <c r="F285" s="91">
        <v>1</v>
      </c>
      <c r="G285" s="91">
        <f t="shared" si="4"/>
        <v>0</v>
      </c>
      <c r="H285" s="91">
        <v>3</v>
      </c>
      <c r="I285" s="91">
        <f t="shared" si="5"/>
        <v>0</v>
      </c>
      <c r="J285" s="143">
        <f t="shared" si="6"/>
        <v>1</v>
      </c>
      <c r="K285" s="143">
        <f t="shared" si="7"/>
        <v>0</v>
      </c>
      <c r="L285" s="2"/>
      <c r="M285" s="112" t="s">
        <v>1578</v>
      </c>
      <c r="N285" s="135">
        <v>0</v>
      </c>
      <c r="O285" s="137">
        <v>1</v>
      </c>
      <c r="P285" s="2"/>
      <c r="Q285" s="100" t="s">
        <v>1164</v>
      </c>
      <c r="R285" s="107">
        <v>15</v>
      </c>
      <c r="S285" s="101">
        <v>15</v>
      </c>
      <c r="T285" s="2"/>
    </row>
    <row r="286" spans="1:23" customFormat="1" x14ac:dyDescent="0.3">
      <c r="A286" s="2"/>
      <c r="B286" s="142" t="s">
        <v>1301</v>
      </c>
      <c r="C286" s="91">
        <v>3</v>
      </c>
      <c r="D286" s="91">
        <v>3</v>
      </c>
      <c r="E286" s="91">
        <v>1</v>
      </c>
      <c r="F286" s="91">
        <v>2</v>
      </c>
      <c r="G286" s="91">
        <f t="shared" si="4"/>
        <v>0</v>
      </c>
      <c r="H286" s="91">
        <v>3</v>
      </c>
      <c r="I286" s="91">
        <f t="shared" si="5"/>
        <v>0</v>
      </c>
      <c r="J286" s="143">
        <f t="shared" si="6"/>
        <v>1</v>
      </c>
      <c r="K286" s="143">
        <f t="shared" si="7"/>
        <v>0</v>
      </c>
      <c r="L286" s="2"/>
      <c r="M286" s="113" t="s">
        <v>1721</v>
      </c>
      <c r="N286" s="136">
        <v>0</v>
      </c>
      <c r="O286" s="133">
        <v>1</v>
      </c>
      <c r="P286" s="2"/>
      <c r="Q286" s="100" t="s">
        <v>1192</v>
      </c>
      <c r="R286" s="107">
        <v>2</v>
      </c>
      <c r="S286" s="101">
        <v>2</v>
      </c>
      <c r="T286" s="2"/>
    </row>
    <row r="287" spans="1:23" customFormat="1" x14ac:dyDescent="0.3">
      <c r="A287" s="2"/>
      <c r="B287" s="142" t="s">
        <v>1445</v>
      </c>
      <c r="C287" s="91">
        <v>3</v>
      </c>
      <c r="D287" s="91">
        <v>3</v>
      </c>
      <c r="E287" s="91">
        <v>0</v>
      </c>
      <c r="F287" s="91">
        <v>3</v>
      </c>
      <c r="G287" s="91">
        <f t="shared" si="4"/>
        <v>0</v>
      </c>
      <c r="H287" s="91">
        <v>3</v>
      </c>
      <c r="I287" s="91">
        <f t="shared" si="5"/>
        <v>0</v>
      </c>
      <c r="J287" s="143">
        <f t="shared" si="6"/>
        <v>1</v>
      </c>
      <c r="K287" s="143">
        <f t="shared" si="7"/>
        <v>0</v>
      </c>
      <c r="L287" s="2"/>
      <c r="M287" s="113" t="s">
        <v>1638</v>
      </c>
      <c r="N287" s="136">
        <v>0</v>
      </c>
      <c r="O287" s="133">
        <v>1</v>
      </c>
      <c r="P287" s="2"/>
      <c r="Q287" s="100" t="s">
        <v>1197</v>
      </c>
      <c r="R287" s="107">
        <v>13</v>
      </c>
      <c r="S287" s="101">
        <v>14</v>
      </c>
      <c r="T287" s="2"/>
    </row>
    <row r="288" spans="1:23" customFormat="1" x14ac:dyDescent="0.3">
      <c r="A288" s="2"/>
      <c r="B288" s="142" t="s">
        <v>1469</v>
      </c>
      <c r="C288" s="91">
        <v>3</v>
      </c>
      <c r="D288" s="91">
        <v>3</v>
      </c>
      <c r="E288" s="91">
        <v>2</v>
      </c>
      <c r="F288" s="91">
        <v>1</v>
      </c>
      <c r="G288" s="91">
        <f t="shared" si="4"/>
        <v>0</v>
      </c>
      <c r="H288" s="91">
        <v>3</v>
      </c>
      <c r="I288" s="91">
        <f t="shared" si="5"/>
        <v>0</v>
      </c>
      <c r="J288" s="143">
        <f t="shared" si="6"/>
        <v>1</v>
      </c>
      <c r="K288" s="143">
        <f t="shared" si="7"/>
        <v>0</v>
      </c>
      <c r="L288" s="2"/>
      <c r="M288" s="113" t="s">
        <v>1252</v>
      </c>
      <c r="N288" s="136">
        <v>0</v>
      </c>
      <c r="O288" s="133">
        <v>1</v>
      </c>
      <c r="P288" s="2"/>
      <c r="Q288" s="100" t="s">
        <v>1218</v>
      </c>
      <c r="R288" s="107">
        <v>2</v>
      </c>
      <c r="S288" s="101">
        <v>2</v>
      </c>
      <c r="T288" s="2"/>
    </row>
    <row r="289" spans="1:20" customFormat="1" x14ac:dyDescent="0.3">
      <c r="A289" s="2"/>
      <c r="B289" s="142" t="s">
        <v>1472</v>
      </c>
      <c r="C289" s="91">
        <v>3</v>
      </c>
      <c r="D289" s="91">
        <v>3</v>
      </c>
      <c r="E289" s="91">
        <v>1</v>
      </c>
      <c r="F289" s="91">
        <v>1</v>
      </c>
      <c r="G289" s="91">
        <f t="shared" si="4"/>
        <v>1</v>
      </c>
      <c r="H289" s="91">
        <v>3</v>
      </c>
      <c r="I289" s="91">
        <f t="shared" si="5"/>
        <v>0</v>
      </c>
      <c r="J289" s="143">
        <f t="shared" si="6"/>
        <v>1</v>
      </c>
      <c r="K289" s="143">
        <f t="shared" si="7"/>
        <v>0</v>
      </c>
      <c r="L289" s="2"/>
      <c r="M289" s="113" t="s">
        <v>1282</v>
      </c>
      <c r="N289" s="136">
        <v>0</v>
      </c>
      <c r="O289" s="133">
        <v>1</v>
      </c>
      <c r="P289" s="2"/>
      <c r="Q289" s="100" t="s">
        <v>1222</v>
      </c>
      <c r="R289" s="107">
        <v>5</v>
      </c>
      <c r="S289" s="101">
        <v>6</v>
      </c>
      <c r="T289" s="2"/>
    </row>
    <row r="290" spans="1:20" customFormat="1" x14ac:dyDescent="0.3">
      <c r="A290" s="2"/>
      <c r="B290" s="142" t="s">
        <v>1482</v>
      </c>
      <c r="C290" s="91">
        <v>3</v>
      </c>
      <c r="D290" s="91">
        <v>3</v>
      </c>
      <c r="E290" s="91">
        <v>1</v>
      </c>
      <c r="F290" s="91">
        <v>1</v>
      </c>
      <c r="G290" s="91">
        <f t="shared" si="4"/>
        <v>1</v>
      </c>
      <c r="H290" s="91">
        <v>3</v>
      </c>
      <c r="I290" s="91">
        <f t="shared" si="5"/>
        <v>0</v>
      </c>
      <c r="J290" s="143">
        <f t="shared" si="6"/>
        <v>1</v>
      </c>
      <c r="K290" s="143">
        <f t="shared" si="7"/>
        <v>0</v>
      </c>
      <c r="L290" s="2"/>
      <c r="M290" s="113" t="s">
        <v>1701</v>
      </c>
      <c r="N290" s="136">
        <v>0.2</v>
      </c>
      <c r="O290" s="133">
        <v>0.8</v>
      </c>
      <c r="P290" s="2"/>
      <c r="Q290" s="100" t="s">
        <v>1231</v>
      </c>
      <c r="R290" s="107">
        <v>8</v>
      </c>
      <c r="S290" s="101">
        <v>8</v>
      </c>
      <c r="T290" s="2"/>
    </row>
    <row r="291" spans="1:20" customFormat="1" x14ac:dyDescent="0.3">
      <c r="A291" s="2"/>
      <c r="B291" s="142" t="s">
        <v>1554</v>
      </c>
      <c r="C291" s="91">
        <v>3</v>
      </c>
      <c r="D291" s="91">
        <v>3</v>
      </c>
      <c r="E291" s="91">
        <v>1</v>
      </c>
      <c r="F291" s="91">
        <v>2</v>
      </c>
      <c r="G291" s="91">
        <f t="shared" si="4"/>
        <v>0</v>
      </c>
      <c r="H291" s="91">
        <v>3</v>
      </c>
      <c r="I291" s="91">
        <f t="shared" si="5"/>
        <v>0</v>
      </c>
      <c r="J291" s="143">
        <f t="shared" si="6"/>
        <v>1</v>
      </c>
      <c r="K291" s="143">
        <f t="shared" si="7"/>
        <v>0</v>
      </c>
      <c r="L291" s="2"/>
      <c r="M291" s="113" t="s">
        <v>1376</v>
      </c>
      <c r="N291" s="136">
        <v>0.2</v>
      </c>
      <c r="O291" s="133">
        <v>0.8</v>
      </c>
      <c r="P291" s="2"/>
      <c r="Q291" s="100" t="s">
        <v>1249</v>
      </c>
      <c r="R291" s="107">
        <v>2</v>
      </c>
      <c r="S291" s="101">
        <v>2</v>
      </c>
      <c r="T291" s="2"/>
    </row>
    <row r="292" spans="1:20" customFormat="1" x14ac:dyDescent="0.3">
      <c r="A292" s="2"/>
      <c r="B292" s="142" t="s">
        <v>1581</v>
      </c>
      <c r="C292" s="91">
        <v>3</v>
      </c>
      <c r="D292" s="91">
        <v>3</v>
      </c>
      <c r="E292" s="91">
        <v>3</v>
      </c>
      <c r="F292" s="91">
        <v>0</v>
      </c>
      <c r="G292" s="91">
        <f t="shared" si="4"/>
        <v>0</v>
      </c>
      <c r="H292" s="91">
        <v>3</v>
      </c>
      <c r="I292" s="91">
        <f t="shared" si="5"/>
        <v>0</v>
      </c>
      <c r="J292" s="143">
        <f t="shared" si="6"/>
        <v>1</v>
      </c>
      <c r="K292" s="143">
        <f t="shared" si="7"/>
        <v>0</v>
      </c>
      <c r="L292" s="2"/>
      <c r="M292" s="113" t="s">
        <v>1538</v>
      </c>
      <c r="N292" s="136">
        <v>0.25</v>
      </c>
      <c r="O292" s="133">
        <v>0.75</v>
      </c>
      <c r="P292" s="2"/>
      <c r="Q292" s="100" t="s">
        <v>1252</v>
      </c>
      <c r="R292" s="107">
        <v>2</v>
      </c>
      <c r="S292" s="101">
        <v>2</v>
      </c>
      <c r="T292" s="2"/>
    </row>
    <row r="293" spans="1:20" customFormat="1" x14ac:dyDescent="0.3">
      <c r="A293" s="2"/>
      <c r="B293" s="142" t="s">
        <v>1618</v>
      </c>
      <c r="C293" s="91">
        <v>3</v>
      </c>
      <c r="D293" s="91">
        <v>3</v>
      </c>
      <c r="E293" s="91">
        <v>0</v>
      </c>
      <c r="F293" s="91">
        <v>3</v>
      </c>
      <c r="G293" s="91">
        <f t="shared" si="4"/>
        <v>0</v>
      </c>
      <c r="H293" s="91">
        <v>3</v>
      </c>
      <c r="I293" s="91">
        <f t="shared" si="5"/>
        <v>0</v>
      </c>
      <c r="J293" s="143">
        <f t="shared" si="6"/>
        <v>1</v>
      </c>
      <c r="K293" s="143">
        <f t="shared" si="7"/>
        <v>0</v>
      </c>
      <c r="L293" s="2"/>
      <c r="M293" s="113" t="s">
        <v>1746</v>
      </c>
      <c r="N293" s="136">
        <v>0.25</v>
      </c>
      <c r="O293" s="133">
        <v>0.75</v>
      </c>
      <c r="P293" s="2"/>
      <c r="Q293" s="100" t="s">
        <v>1255</v>
      </c>
      <c r="R293" s="107">
        <v>9</v>
      </c>
      <c r="S293" s="101">
        <v>9</v>
      </c>
      <c r="T293" s="2"/>
    </row>
    <row r="294" spans="1:20" customFormat="1" x14ac:dyDescent="0.3">
      <c r="A294" s="2"/>
      <c r="B294" s="142" t="s">
        <v>1717</v>
      </c>
      <c r="C294" s="91">
        <v>3</v>
      </c>
      <c r="D294" s="91">
        <v>3</v>
      </c>
      <c r="E294" s="91">
        <v>0</v>
      </c>
      <c r="F294" s="91">
        <v>3</v>
      </c>
      <c r="G294" s="91">
        <f t="shared" si="4"/>
        <v>0</v>
      </c>
      <c r="H294" s="91">
        <v>3</v>
      </c>
      <c r="I294" s="91">
        <f t="shared" si="5"/>
        <v>0</v>
      </c>
      <c r="J294" s="143">
        <f t="shared" si="6"/>
        <v>1</v>
      </c>
      <c r="K294" s="143">
        <f t="shared" si="7"/>
        <v>0</v>
      </c>
      <c r="L294" s="2"/>
      <c r="M294" s="113" t="s">
        <v>1726</v>
      </c>
      <c r="N294" s="136">
        <v>0.27272727272727271</v>
      </c>
      <c r="O294" s="133">
        <v>0.72727272727272729</v>
      </c>
      <c r="P294" s="2"/>
      <c r="Q294" s="100" t="s">
        <v>1266</v>
      </c>
      <c r="R294" s="107">
        <v>7</v>
      </c>
      <c r="S294" s="101">
        <v>7</v>
      </c>
      <c r="T294" s="2"/>
    </row>
    <row r="295" spans="1:20" customFormat="1" x14ac:dyDescent="0.3">
      <c r="A295" s="2"/>
      <c r="B295" s="142" t="s">
        <v>1324</v>
      </c>
      <c r="C295" s="91">
        <v>2</v>
      </c>
      <c r="D295" s="91">
        <v>2</v>
      </c>
      <c r="E295" s="91">
        <v>1</v>
      </c>
      <c r="F295" s="91">
        <v>1</v>
      </c>
      <c r="G295" s="91">
        <f t="shared" si="4"/>
        <v>0</v>
      </c>
      <c r="H295" s="91">
        <v>2</v>
      </c>
      <c r="I295" s="91">
        <f t="shared" si="5"/>
        <v>0</v>
      </c>
      <c r="J295" s="143">
        <f t="shared" si="6"/>
        <v>1</v>
      </c>
      <c r="K295" s="143">
        <f t="shared" si="7"/>
        <v>0</v>
      </c>
      <c r="L295" s="2"/>
      <c r="M295" s="113" t="s">
        <v>1623</v>
      </c>
      <c r="N295" s="136">
        <v>0.27272727272727271</v>
      </c>
      <c r="O295" s="133">
        <v>0.72727272727272729</v>
      </c>
      <c r="P295" s="2"/>
      <c r="Q295" s="100" t="s">
        <v>1274</v>
      </c>
      <c r="R295" s="107">
        <v>4</v>
      </c>
      <c r="S295" s="101">
        <v>4</v>
      </c>
      <c r="T295" s="2"/>
    </row>
    <row r="296" spans="1:20" customFormat="1" x14ac:dyDescent="0.3">
      <c r="A296" s="2"/>
      <c r="B296" s="142" t="s">
        <v>1328</v>
      </c>
      <c r="C296" s="91">
        <v>2</v>
      </c>
      <c r="D296" s="91">
        <v>2</v>
      </c>
      <c r="E296" s="91">
        <v>1</v>
      </c>
      <c r="F296" s="91">
        <v>1</v>
      </c>
      <c r="G296" s="91">
        <f t="shared" si="4"/>
        <v>0</v>
      </c>
      <c r="H296" s="91">
        <v>2</v>
      </c>
      <c r="I296" s="91">
        <f t="shared" si="5"/>
        <v>0</v>
      </c>
      <c r="J296" s="143">
        <f t="shared" si="6"/>
        <v>1</v>
      </c>
      <c r="K296" s="143">
        <f t="shared" si="7"/>
        <v>0</v>
      </c>
      <c r="L296" s="2"/>
      <c r="M296" s="113" t="s">
        <v>1734</v>
      </c>
      <c r="N296" s="136">
        <v>0.2857142857142857</v>
      </c>
      <c r="O296" s="133">
        <v>0.7142857142857143</v>
      </c>
      <c r="P296" s="2"/>
      <c r="Q296" s="100" t="s">
        <v>1282</v>
      </c>
      <c r="R296" s="107">
        <v>2</v>
      </c>
      <c r="S296" s="101">
        <v>2</v>
      </c>
      <c r="T296" s="2"/>
    </row>
    <row r="297" spans="1:20" customFormat="1" x14ac:dyDescent="0.3">
      <c r="A297" s="2"/>
      <c r="B297" s="142" t="s">
        <v>1332</v>
      </c>
      <c r="C297" s="91">
        <v>2</v>
      </c>
      <c r="D297" s="91">
        <v>2</v>
      </c>
      <c r="E297" s="91">
        <v>0</v>
      </c>
      <c r="F297" s="91">
        <v>2</v>
      </c>
      <c r="G297" s="91">
        <f t="shared" si="4"/>
        <v>0</v>
      </c>
      <c r="H297" s="91">
        <v>2</v>
      </c>
      <c r="I297" s="91">
        <f t="shared" si="5"/>
        <v>0</v>
      </c>
      <c r="J297" s="143">
        <f t="shared" si="6"/>
        <v>1</v>
      </c>
      <c r="K297" s="143">
        <f t="shared" si="7"/>
        <v>0</v>
      </c>
      <c r="L297" s="2"/>
      <c r="M297" s="113" t="s">
        <v>1642</v>
      </c>
      <c r="N297" s="136">
        <v>0.33333333333333331</v>
      </c>
      <c r="O297" s="133">
        <v>0.66666666666666663</v>
      </c>
      <c r="P297" s="2"/>
      <c r="Q297" s="100" t="s">
        <v>1286</v>
      </c>
      <c r="R297" s="107">
        <v>7</v>
      </c>
      <c r="S297" s="101">
        <v>7</v>
      </c>
      <c r="T297" s="2"/>
    </row>
    <row r="298" spans="1:20" customFormat="1" x14ac:dyDescent="0.3">
      <c r="A298" s="2"/>
      <c r="B298" s="142" t="s">
        <v>1367</v>
      </c>
      <c r="C298" s="91">
        <v>2</v>
      </c>
      <c r="D298" s="91">
        <v>2</v>
      </c>
      <c r="E298" s="91">
        <v>0</v>
      </c>
      <c r="F298" s="91">
        <v>2</v>
      </c>
      <c r="G298" s="91">
        <f t="shared" si="4"/>
        <v>0</v>
      </c>
      <c r="H298" s="91">
        <v>2</v>
      </c>
      <c r="I298" s="91">
        <f t="shared" si="5"/>
        <v>0</v>
      </c>
      <c r="J298" s="143">
        <f t="shared" si="6"/>
        <v>1</v>
      </c>
      <c r="K298" s="143">
        <f t="shared" si="7"/>
        <v>0</v>
      </c>
      <c r="L298" s="2"/>
      <c r="M298" s="113" t="s">
        <v>1607</v>
      </c>
      <c r="N298" s="136">
        <v>0.33333333333333331</v>
      </c>
      <c r="O298" s="133">
        <v>0.66666666666666663</v>
      </c>
      <c r="P298" s="2"/>
      <c r="Q298" s="100" t="s">
        <v>1301</v>
      </c>
      <c r="R298" s="107">
        <v>3</v>
      </c>
      <c r="S298" s="101">
        <v>3</v>
      </c>
      <c r="T298" s="2"/>
    </row>
    <row r="299" spans="1:20" customFormat="1" x14ac:dyDescent="0.3">
      <c r="A299" s="2"/>
      <c r="B299" s="142" t="s">
        <v>1370</v>
      </c>
      <c r="C299" s="91">
        <v>2</v>
      </c>
      <c r="D299" s="91">
        <v>2</v>
      </c>
      <c r="E299" s="91">
        <v>1</v>
      </c>
      <c r="F299" s="91">
        <v>1</v>
      </c>
      <c r="G299" s="91">
        <f t="shared" si="4"/>
        <v>0</v>
      </c>
      <c r="H299" s="91">
        <v>2</v>
      </c>
      <c r="I299" s="91">
        <f t="shared" si="5"/>
        <v>0</v>
      </c>
      <c r="J299" s="143">
        <f t="shared" si="6"/>
        <v>1</v>
      </c>
      <c r="K299" s="143">
        <f t="shared" si="7"/>
        <v>0</v>
      </c>
      <c r="L299" s="2"/>
      <c r="M299" s="113" t="s">
        <v>1410</v>
      </c>
      <c r="N299" s="136">
        <v>0.33333333333333331</v>
      </c>
      <c r="O299" s="133">
        <v>0.66666666666666663</v>
      </c>
      <c r="P299" s="2"/>
      <c r="Q299" s="100" t="s">
        <v>1297</v>
      </c>
      <c r="R299" s="107">
        <v>3</v>
      </c>
      <c r="S299" s="101">
        <v>3</v>
      </c>
      <c r="T299" s="2"/>
    </row>
    <row r="300" spans="1:20" customFormat="1" x14ac:dyDescent="0.3">
      <c r="A300" s="2"/>
      <c r="B300" s="142" t="s">
        <v>1443</v>
      </c>
      <c r="C300" s="91">
        <v>2</v>
      </c>
      <c r="D300" s="91">
        <v>2</v>
      </c>
      <c r="E300" s="91">
        <v>1</v>
      </c>
      <c r="F300" s="91">
        <v>1</v>
      </c>
      <c r="G300" s="91">
        <f t="shared" si="4"/>
        <v>0</v>
      </c>
      <c r="H300" s="91">
        <v>2</v>
      </c>
      <c r="I300" s="91">
        <f t="shared" si="5"/>
        <v>0</v>
      </c>
      <c r="J300" s="143">
        <f t="shared" si="6"/>
        <v>1</v>
      </c>
      <c r="K300" s="143">
        <f t="shared" si="7"/>
        <v>0</v>
      </c>
      <c r="L300" s="2"/>
      <c r="M300" s="113" t="s">
        <v>1454</v>
      </c>
      <c r="N300" s="136">
        <v>0.33333333333333331</v>
      </c>
      <c r="O300" s="133">
        <v>0.66666666666666663</v>
      </c>
      <c r="P300" s="2"/>
      <c r="Q300" s="100" t="s">
        <v>1306</v>
      </c>
      <c r="R300" s="107">
        <v>6</v>
      </c>
      <c r="S300" s="101">
        <v>6</v>
      </c>
      <c r="T300" s="2"/>
    </row>
    <row r="301" spans="1:20" customFormat="1" x14ac:dyDescent="0.3">
      <c r="A301" s="2"/>
      <c r="B301" s="142" t="s">
        <v>1457</v>
      </c>
      <c r="C301" s="91">
        <v>2</v>
      </c>
      <c r="D301" s="91">
        <v>2</v>
      </c>
      <c r="E301" s="91">
        <v>2</v>
      </c>
      <c r="F301" s="91">
        <v>0</v>
      </c>
      <c r="G301" s="91">
        <f t="shared" si="4"/>
        <v>0</v>
      </c>
      <c r="H301" s="91">
        <v>2</v>
      </c>
      <c r="I301" s="91">
        <f t="shared" si="5"/>
        <v>0</v>
      </c>
      <c r="J301" s="143">
        <f t="shared" si="6"/>
        <v>1</v>
      </c>
      <c r="K301" s="143">
        <f t="shared" si="7"/>
        <v>0</v>
      </c>
      <c r="L301" s="2"/>
      <c r="M301" s="113" t="s">
        <v>1390</v>
      </c>
      <c r="N301" s="136">
        <v>0.33333333333333331</v>
      </c>
      <c r="O301" s="133">
        <v>0.66666666666666663</v>
      </c>
      <c r="P301" s="2"/>
      <c r="Q301" s="100" t="s">
        <v>1312</v>
      </c>
      <c r="R301" s="107">
        <v>12</v>
      </c>
      <c r="S301" s="101">
        <v>12</v>
      </c>
      <c r="T301" s="2"/>
    </row>
    <row r="302" spans="1:20" customFormat="1" x14ac:dyDescent="0.3">
      <c r="A302" s="2"/>
      <c r="B302" s="142" t="s">
        <v>1460</v>
      </c>
      <c r="C302" s="91">
        <v>2</v>
      </c>
      <c r="D302" s="91">
        <v>2</v>
      </c>
      <c r="E302" s="91">
        <v>1</v>
      </c>
      <c r="F302" s="91">
        <v>1</v>
      </c>
      <c r="G302" s="91">
        <f t="shared" si="4"/>
        <v>0</v>
      </c>
      <c r="H302" s="91">
        <v>2</v>
      </c>
      <c r="I302" s="91">
        <f t="shared" si="5"/>
        <v>0</v>
      </c>
      <c r="J302" s="143">
        <f t="shared" si="6"/>
        <v>1</v>
      </c>
      <c r="K302" s="143">
        <f t="shared" si="7"/>
        <v>0</v>
      </c>
      <c r="L302" s="2"/>
      <c r="M302" s="113" t="s">
        <v>1341</v>
      </c>
      <c r="N302" s="136">
        <v>0.33333333333333331</v>
      </c>
      <c r="O302" s="133">
        <v>0.66666666666666663</v>
      </c>
      <c r="P302" s="2"/>
      <c r="Q302" s="100" t="s">
        <v>1324</v>
      </c>
      <c r="R302" s="107">
        <v>2</v>
      </c>
      <c r="S302" s="101">
        <v>2</v>
      </c>
      <c r="T302" s="2"/>
    </row>
    <row r="303" spans="1:20" customFormat="1" x14ac:dyDescent="0.3">
      <c r="A303" s="2"/>
      <c r="B303" s="142" t="s">
        <v>1485</v>
      </c>
      <c r="C303" s="91">
        <v>2</v>
      </c>
      <c r="D303" s="91">
        <v>2</v>
      </c>
      <c r="E303" s="91">
        <v>1</v>
      </c>
      <c r="F303" s="91">
        <v>1</v>
      </c>
      <c r="G303" s="91">
        <f t="shared" si="4"/>
        <v>0</v>
      </c>
      <c r="H303" s="91">
        <v>2</v>
      </c>
      <c r="I303" s="91">
        <f t="shared" si="5"/>
        <v>0</v>
      </c>
      <c r="J303" s="143">
        <f t="shared" si="6"/>
        <v>1</v>
      </c>
      <c r="K303" s="143">
        <f t="shared" si="7"/>
        <v>0</v>
      </c>
      <c r="L303" s="2"/>
      <c r="M303" s="113" t="s">
        <v>1672</v>
      </c>
      <c r="N303" s="136">
        <v>0.33333333333333331</v>
      </c>
      <c r="O303" s="133">
        <v>0.66666666666666663</v>
      </c>
      <c r="P303" s="2"/>
      <c r="Q303" s="100" t="s">
        <v>1328</v>
      </c>
      <c r="R303" s="107">
        <v>2</v>
      </c>
      <c r="S303" s="101">
        <v>2</v>
      </c>
      <c r="T303" s="2"/>
    </row>
    <row r="304" spans="1:20" customFormat="1" x14ac:dyDescent="0.3">
      <c r="A304" s="2"/>
      <c r="B304" s="142" t="s">
        <v>1493</v>
      </c>
      <c r="C304" s="91">
        <v>2</v>
      </c>
      <c r="D304" s="91">
        <v>2</v>
      </c>
      <c r="E304" s="91">
        <v>1</v>
      </c>
      <c r="F304" s="91">
        <v>0</v>
      </c>
      <c r="G304" s="91">
        <f t="shared" si="4"/>
        <v>1</v>
      </c>
      <c r="H304" s="91">
        <v>2</v>
      </c>
      <c r="I304" s="91">
        <f t="shared" si="5"/>
        <v>0</v>
      </c>
      <c r="J304" s="143">
        <f t="shared" si="6"/>
        <v>1</v>
      </c>
      <c r="K304" s="143">
        <f t="shared" si="7"/>
        <v>0</v>
      </c>
      <c r="L304" s="2"/>
      <c r="M304" s="113" t="s">
        <v>1557</v>
      </c>
      <c r="N304" s="136">
        <v>0.33333333333333331</v>
      </c>
      <c r="O304" s="133">
        <v>0.66666666666666663</v>
      </c>
      <c r="P304" s="2"/>
      <c r="Q304" s="100" t="s">
        <v>1332</v>
      </c>
      <c r="R304" s="107">
        <v>2</v>
      </c>
      <c r="S304" s="101">
        <v>2</v>
      </c>
      <c r="T304" s="2"/>
    </row>
    <row r="305" spans="1:20" customFormat="1" x14ac:dyDescent="0.3">
      <c r="A305" s="2"/>
      <c r="B305" s="142" t="s">
        <v>1537</v>
      </c>
      <c r="C305" s="91">
        <v>2</v>
      </c>
      <c r="D305" s="91">
        <v>2</v>
      </c>
      <c r="E305" s="91">
        <v>0</v>
      </c>
      <c r="F305" s="91">
        <v>2</v>
      </c>
      <c r="G305" s="91">
        <f t="shared" si="4"/>
        <v>0</v>
      </c>
      <c r="H305" s="91">
        <v>2</v>
      </c>
      <c r="I305" s="91">
        <f t="shared" si="5"/>
        <v>0</v>
      </c>
      <c r="J305" s="143">
        <f t="shared" si="6"/>
        <v>1</v>
      </c>
      <c r="K305" s="143">
        <f t="shared" si="7"/>
        <v>0</v>
      </c>
      <c r="L305" s="2"/>
      <c r="M305" s="113" t="s">
        <v>1222</v>
      </c>
      <c r="N305" s="136">
        <v>0.33333333333333331</v>
      </c>
      <c r="O305" s="133">
        <v>0.66666666666666663</v>
      </c>
      <c r="P305" s="2"/>
      <c r="Q305" s="100" t="s">
        <v>1335</v>
      </c>
      <c r="R305" s="107">
        <v>6</v>
      </c>
      <c r="S305" s="101">
        <v>8</v>
      </c>
      <c r="T305" s="2"/>
    </row>
    <row r="306" spans="1:20" customFormat="1" x14ac:dyDescent="0.3">
      <c r="A306" s="2"/>
      <c r="B306" s="142" t="s">
        <v>1632</v>
      </c>
      <c r="C306" s="91">
        <v>2</v>
      </c>
      <c r="D306" s="91">
        <v>2</v>
      </c>
      <c r="E306" s="91">
        <v>0</v>
      </c>
      <c r="F306" s="91">
        <v>2</v>
      </c>
      <c r="G306" s="91">
        <f t="shared" si="4"/>
        <v>0</v>
      </c>
      <c r="H306" s="91">
        <v>2</v>
      </c>
      <c r="I306" s="91">
        <f t="shared" si="5"/>
        <v>0</v>
      </c>
      <c r="J306" s="143">
        <f t="shared" si="6"/>
        <v>1</v>
      </c>
      <c r="K306" s="143">
        <f t="shared" si="7"/>
        <v>0</v>
      </c>
      <c r="L306" s="2"/>
      <c r="M306" s="113" t="s">
        <v>1740</v>
      </c>
      <c r="N306" s="136">
        <v>0.33333333333333331</v>
      </c>
      <c r="O306" s="133">
        <v>0.66666666666666663</v>
      </c>
      <c r="P306" s="2"/>
      <c r="Q306" s="100" t="s">
        <v>1341</v>
      </c>
      <c r="R306" s="107">
        <v>3</v>
      </c>
      <c r="S306" s="101">
        <v>3</v>
      </c>
      <c r="T306" s="2"/>
    </row>
    <row r="307" spans="1:20" customFormat="1" x14ac:dyDescent="0.3">
      <c r="A307" s="2"/>
      <c r="B307" s="142" t="s">
        <v>1655</v>
      </c>
      <c r="C307" s="91">
        <v>2</v>
      </c>
      <c r="D307" s="91">
        <v>2</v>
      </c>
      <c r="E307" s="91">
        <v>1</v>
      </c>
      <c r="F307" s="91">
        <v>1</v>
      </c>
      <c r="G307" s="91">
        <f t="shared" si="4"/>
        <v>0</v>
      </c>
      <c r="H307" s="91">
        <v>2</v>
      </c>
      <c r="I307" s="91">
        <f t="shared" si="5"/>
        <v>0</v>
      </c>
      <c r="J307" s="143">
        <f t="shared" si="6"/>
        <v>1</v>
      </c>
      <c r="K307" s="143">
        <f t="shared" si="7"/>
        <v>0</v>
      </c>
      <c r="L307" s="2"/>
      <c r="M307" s="113" t="s">
        <v>1335</v>
      </c>
      <c r="N307" s="136">
        <v>0.375</v>
      </c>
      <c r="O307" s="133">
        <v>0.625</v>
      </c>
      <c r="P307" s="2"/>
      <c r="Q307" s="100" t="s">
        <v>1345</v>
      </c>
      <c r="R307" s="107">
        <v>4</v>
      </c>
      <c r="S307" s="101">
        <v>4</v>
      </c>
      <c r="T307" s="2"/>
    </row>
    <row r="308" spans="1:20" customFormat="1" x14ac:dyDescent="0.3">
      <c r="A308" s="2"/>
      <c r="B308" s="142" t="s">
        <v>1710</v>
      </c>
      <c r="C308" s="91">
        <v>2</v>
      </c>
      <c r="D308" s="91">
        <v>2</v>
      </c>
      <c r="E308" s="91">
        <v>0</v>
      </c>
      <c r="F308" s="91">
        <v>2</v>
      </c>
      <c r="G308" s="91">
        <f t="shared" si="4"/>
        <v>0</v>
      </c>
      <c r="H308" s="91">
        <v>2</v>
      </c>
      <c r="I308" s="91">
        <f t="shared" si="5"/>
        <v>0</v>
      </c>
      <c r="J308" s="143">
        <f t="shared" si="6"/>
        <v>1</v>
      </c>
      <c r="K308" s="143">
        <f t="shared" si="7"/>
        <v>0</v>
      </c>
      <c r="L308" s="2"/>
      <c r="M308" s="113" t="s">
        <v>1597</v>
      </c>
      <c r="N308" s="136">
        <v>0.4</v>
      </c>
      <c r="O308" s="133">
        <v>0.6</v>
      </c>
      <c r="P308" s="2"/>
      <c r="Q308" s="100" t="s">
        <v>1350</v>
      </c>
      <c r="R308" s="107">
        <v>5</v>
      </c>
      <c r="S308" s="101">
        <v>5</v>
      </c>
      <c r="T308" s="2"/>
    </row>
    <row r="309" spans="1:20" customFormat="1" x14ac:dyDescent="0.3">
      <c r="A309" s="2"/>
      <c r="B309" s="142" t="s">
        <v>1723</v>
      </c>
      <c r="C309" s="91">
        <v>2</v>
      </c>
      <c r="D309" s="91">
        <v>2</v>
      </c>
      <c r="E309" s="91">
        <v>1</v>
      </c>
      <c r="F309" s="91">
        <v>1</v>
      </c>
      <c r="G309" s="91">
        <f t="shared" si="4"/>
        <v>0</v>
      </c>
      <c r="H309" s="91">
        <v>2</v>
      </c>
      <c r="I309" s="91">
        <f t="shared" si="5"/>
        <v>0</v>
      </c>
      <c r="J309" s="143">
        <f t="shared" si="6"/>
        <v>1</v>
      </c>
      <c r="K309" s="143">
        <f t="shared" si="7"/>
        <v>0</v>
      </c>
      <c r="L309" s="2"/>
      <c r="M309" s="113" t="s">
        <v>1716</v>
      </c>
      <c r="N309" s="136">
        <v>0.4</v>
      </c>
      <c r="O309" s="133">
        <v>0.6</v>
      </c>
      <c r="P309" s="2"/>
      <c r="Q309" s="100" t="s">
        <v>1355</v>
      </c>
      <c r="R309" s="107">
        <v>2</v>
      </c>
      <c r="S309" s="101">
        <v>2</v>
      </c>
      <c r="T309" s="2"/>
    </row>
    <row r="310" spans="1:20" customFormat="1" x14ac:dyDescent="0.3">
      <c r="A310" s="2"/>
      <c r="B310" s="142" t="s">
        <v>1522</v>
      </c>
      <c r="C310" s="91">
        <v>10</v>
      </c>
      <c r="D310" s="91">
        <v>10</v>
      </c>
      <c r="E310" s="91">
        <v>1</v>
      </c>
      <c r="F310" s="91">
        <v>7</v>
      </c>
      <c r="G310" s="91">
        <f t="shared" si="4"/>
        <v>2</v>
      </c>
      <c r="H310" s="91">
        <v>9</v>
      </c>
      <c r="I310" s="91">
        <f t="shared" si="5"/>
        <v>1</v>
      </c>
      <c r="J310" s="143">
        <f t="shared" si="6"/>
        <v>0.9</v>
      </c>
      <c r="K310" s="143">
        <f t="shared" si="7"/>
        <v>0.1</v>
      </c>
      <c r="L310" s="2"/>
      <c r="M310" s="113" t="s">
        <v>1545</v>
      </c>
      <c r="N310" s="136">
        <v>0.4</v>
      </c>
      <c r="O310" s="133">
        <v>0.6</v>
      </c>
      <c r="P310" s="2"/>
      <c r="Q310" s="100" t="s">
        <v>1358</v>
      </c>
      <c r="R310" s="107">
        <v>8</v>
      </c>
      <c r="S310" s="101">
        <v>8</v>
      </c>
      <c r="T310" s="2"/>
    </row>
    <row r="311" spans="1:20" customFormat="1" x14ac:dyDescent="0.3">
      <c r="A311" s="2"/>
      <c r="B311" s="142" t="s">
        <v>1662</v>
      </c>
      <c r="C311" s="91">
        <v>17</v>
      </c>
      <c r="D311" s="91">
        <v>17</v>
      </c>
      <c r="E311" s="91">
        <v>9</v>
      </c>
      <c r="F311" s="91">
        <v>7</v>
      </c>
      <c r="G311" s="91">
        <f t="shared" si="4"/>
        <v>1</v>
      </c>
      <c r="H311" s="91">
        <v>14</v>
      </c>
      <c r="I311" s="91">
        <f t="shared" si="5"/>
        <v>3</v>
      </c>
      <c r="J311" s="143">
        <f t="shared" si="6"/>
        <v>0.82352941176470584</v>
      </c>
      <c r="K311" s="143">
        <f t="shared" si="7"/>
        <v>0.17647058823529413</v>
      </c>
      <c r="L311" s="2"/>
      <c r="M311" s="113" t="s">
        <v>1448</v>
      </c>
      <c r="N311" s="136">
        <v>0.42857142857142855</v>
      </c>
      <c r="O311" s="133">
        <v>0.5714285714285714</v>
      </c>
      <c r="P311" s="2"/>
      <c r="Q311" s="100" t="s">
        <v>1367</v>
      </c>
      <c r="R311" s="107">
        <v>2</v>
      </c>
      <c r="S311" s="101">
        <v>2</v>
      </c>
      <c r="T311" s="2"/>
    </row>
    <row r="312" spans="1:20" customFormat="1" x14ac:dyDescent="0.3">
      <c r="A312" s="2"/>
      <c r="B312" s="142" t="s">
        <v>1164</v>
      </c>
      <c r="C312" s="91">
        <v>15</v>
      </c>
      <c r="D312" s="91">
        <v>15</v>
      </c>
      <c r="E312" s="91">
        <v>1</v>
      </c>
      <c r="F312" s="91">
        <v>14</v>
      </c>
      <c r="G312" s="91">
        <f t="shared" si="4"/>
        <v>0</v>
      </c>
      <c r="H312" s="91">
        <v>12</v>
      </c>
      <c r="I312" s="91">
        <f t="shared" si="5"/>
        <v>3</v>
      </c>
      <c r="J312" s="143">
        <f t="shared" si="6"/>
        <v>0.8</v>
      </c>
      <c r="K312" s="143">
        <f t="shared" si="7"/>
        <v>0.2</v>
      </c>
      <c r="L312" s="2"/>
      <c r="M312" s="113" t="s">
        <v>1433</v>
      </c>
      <c r="N312" s="136">
        <v>0.45454545454545453</v>
      </c>
      <c r="O312" s="133">
        <v>0.54545454545454541</v>
      </c>
      <c r="P312" s="2"/>
      <c r="Q312" s="100" t="s">
        <v>1370</v>
      </c>
      <c r="R312" s="107">
        <v>2</v>
      </c>
      <c r="S312" s="101">
        <v>2</v>
      </c>
      <c r="T312" s="2"/>
    </row>
    <row r="313" spans="1:20" customFormat="1" x14ac:dyDescent="0.3">
      <c r="A313" s="2"/>
      <c r="B313" s="142" t="s">
        <v>1463</v>
      </c>
      <c r="C313" s="91">
        <v>9</v>
      </c>
      <c r="D313" s="91">
        <v>10</v>
      </c>
      <c r="E313" s="91">
        <v>0</v>
      </c>
      <c r="F313" s="91">
        <v>9</v>
      </c>
      <c r="G313" s="91">
        <f t="shared" si="4"/>
        <v>0</v>
      </c>
      <c r="H313" s="91">
        <v>8</v>
      </c>
      <c r="I313" s="91">
        <f t="shared" si="5"/>
        <v>2</v>
      </c>
      <c r="J313" s="143">
        <f t="shared" si="6"/>
        <v>0.8</v>
      </c>
      <c r="K313" s="143">
        <f t="shared" si="7"/>
        <v>0.2</v>
      </c>
      <c r="L313" s="2"/>
      <c r="M313" s="113" t="s">
        <v>1394</v>
      </c>
      <c r="N313" s="136">
        <v>0.46153846153846156</v>
      </c>
      <c r="O313" s="133">
        <v>0.53846153846153844</v>
      </c>
      <c r="P313" s="2"/>
      <c r="Q313" s="100" t="s">
        <v>1374</v>
      </c>
      <c r="R313" s="107">
        <v>2</v>
      </c>
      <c r="S313" s="101">
        <v>2</v>
      </c>
      <c r="T313" s="2"/>
    </row>
    <row r="314" spans="1:20" customFormat="1" x14ac:dyDescent="0.3">
      <c r="A314" s="2"/>
      <c r="B314" s="142" t="s">
        <v>1416</v>
      </c>
      <c r="C314" s="91">
        <v>5</v>
      </c>
      <c r="D314" s="91">
        <v>5</v>
      </c>
      <c r="E314" s="91">
        <v>0</v>
      </c>
      <c r="F314" s="91">
        <v>5</v>
      </c>
      <c r="G314" s="91">
        <f t="shared" si="4"/>
        <v>0</v>
      </c>
      <c r="H314" s="91">
        <v>4</v>
      </c>
      <c r="I314" s="91">
        <f t="shared" si="5"/>
        <v>1</v>
      </c>
      <c r="J314" s="143">
        <f t="shared" si="6"/>
        <v>0.8</v>
      </c>
      <c r="K314" s="143">
        <f t="shared" si="7"/>
        <v>0.2</v>
      </c>
      <c r="L314" s="2"/>
      <c r="M314" s="113" t="s">
        <v>1479</v>
      </c>
      <c r="N314" s="136">
        <v>0.5</v>
      </c>
      <c r="O314" s="133">
        <v>0.5</v>
      </c>
      <c r="P314" s="2"/>
      <c r="Q314" s="100" t="s">
        <v>1376</v>
      </c>
      <c r="R314" s="107">
        <v>5</v>
      </c>
      <c r="S314" s="101">
        <v>5</v>
      </c>
      <c r="T314" s="2"/>
    </row>
    <row r="315" spans="1:20" customFormat="1" x14ac:dyDescent="0.3">
      <c r="A315" s="2"/>
      <c r="B315" s="142" t="s">
        <v>1488</v>
      </c>
      <c r="C315" s="91">
        <v>5</v>
      </c>
      <c r="D315" s="91">
        <v>5</v>
      </c>
      <c r="E315" s="91">
        <v>4</v>
      </c>
      <c r="F315" s="91">
        <v>1</v>
      </c>
      <c r="G315" s="91">
        <f t="shared" ref="G315:G346" si="8">$C315-($E315+$F315)</f>
        <v>0</v>
      </c>
      <c r="H315" s="91">
        <v>4</v>
      </c>
      <c r="I315" s="91">
        <f t="shared" ref="I315:I346" si="9">$D315-$H315</f>
        <v>1</v>
      </c>
      <c r="J315" s="143">
        <f t="shared" ref="J315:J346" si="10">$H315/$D315</f>
        <v>0.8</v>
      </c>
      <c r="K315" s="143">
        <f t="shared" ref="K315:K346" si="11">$I315/$D315</f>
        <v>0.2</v>
      </c>
      <c r="L315" s="2"/>
      <c r="M315" s="113" t="s">
        <v>1192</v>
      </c>
      <c r="N315" s="136">
        <v>0.5</v>
      </c>
      <c r="O315" s="133">
        <v>0.5</v>
      </c>
      <c r="P315" s="2"/>
      <c r="Q315" s="100" t="s">
        <v>1380</v>
      </c>
      <c r="R315" s="107">
        <v>8</v>
      </c>
      <c r="S315" s="101">
        <v>8</v>
      </c>
      <c r="T315" s="2"/>
    </row>
    <row r="316" spans="1:20" customFormat="1" x14ac:dyDescent="0.3">
      <c r="A316" s="2"/>
      <c r="B316" s="142" t="s">
        <v>1657</v>
      </c>
      <c r="C316" s="91">
        <v>5</v>
      </c>
      <c r="D316" s="91">
        <v>5</v>
      </c>
      <c r="E316" s="91">
        <v>1</v>
      </c>
      <c r="F316" s="91">
        <v>2</v>
      </c>
      <c r="G316" s="91">
        <f t="shared" si="8"/>
        <v>2</v>
      </c>
      <c r="H316" s="91">
        <v>4</v>
      </c>
      <c r="I316" s="91">
        <f t="shared" si="9"/>
        <v>1</v>
      </c>
      <c r="J316" s="143">
        <f t="shared" si="10"/>
        <v>0.8</v>
      </c>
      <c r="K316" s="143">
        <f t="shared" si="11"/>
        <v>0.2</v>
      </c>
      <c r="L316" s="2"/>
      <c r="M316" s="113" t="s">
        <v>1610</v>
      </c>
      <c r="N316" s="136">
        <v>0.5</v>
      </c>
      <c r="O316" s="133">
        <v>0.5</v>
      </c>
      <c r="P316" s="2"/>
      <c r="Q316" s="100" t="s">
        <v>1387</v>
      </c>
      <c r="R316" s="107">
        <v>7</v>
      </c>
      <c r="S316" s="101">
        <v>7</v>
      </c>
      <c r="T316" s="2"/>
    </row>
    <row r="317" spans="1:20" customFormat="1" x14ac:dyDescent="0.3">
      <c r="A317" s="2"/>
      <c r="B317" s="142" t="s">
        <v>1197</v>
      </c>
      <c r="C317" s="91">
        <v>13</v>
      </c>
      <c r="D317" s="91">
        <v>14</v>
      </c>
      <c r="E317" s="91">
        <v>4</v>
      </c>
      <c r="F317" s="91">
        <v>9</v>
      </c>
      <c r="G317" s="91">
        <f t="shared" si="8"/>
        <v>0</v>
      </c>
      <c r="H317" s="91">
        <v>11</v>
      </c>
      <c r="I317" s="91">
        <f t="shared" si="9"/>
        <v>3</v>
      </c>
      <c r="J317" s="143">
        <f t="shared" si="10"/>
        <v>0.7857142857142857</v>
      </c>
      <c r="K317" s="143">
        <f t="shared" si="11"/>
        <v>0.21428571428571427</v>
      </c>
      <c r="L317" s="2"/>
      <c r="M317" s="113" t="s">
        <v>1499</v>
      </c>
      <c r="N317" s="136">
        <v>0.5</v>
      </c>
      <c r="O317" s="133">
        <v>0.5</v>
      </c>
      <c r="P317" s="2"/>
      <c r="Q317" s="100" t="s">
        <v>1390</v>
      </c>
      <c r="R317" s="107">
        <v>3</v>
      </c>
      <c r="S317" s="101">
        <v>3</v>
      </c>
      <c r="T317" s="2"/>
    </row>
    <row r="318" spans="1:20" customFormat="1" x14ac:dyDescent="0.3">
      <c r="A318" s="2"/>
      <c r="B318" s="142" t="s">
        <v>1312</v>
      </c>
      <c r="C318" s="91">
        <v>12</v>
      </c>
      <c r="D318" s="91">
        <v>12</v>
      </c>
      <c r="E318" s="91">
        <v>2</v>
      </c>
      <c r="F318" s="91">
        <v>10</v>
      </c>
      <c r="G318" s="91">
        <f t="shared" si="8"/>
        <v>0</v>
      </c>
      <c r="H318" s="91">
        <v>9</v>
      </c>
      <c r="I318" s="91">
        <f t="shared" si="9"/>
        <v>3</v>
      </c>
      <c r="J318" s="143">
        <f t="shared" si="10"/>
        <v>0.75</v>
      </c>
      <c r="K318" s="143">
        <f t="shared" si="11"/>
        <v>0.25</v>
      </c>
      <c r="L318" s="2"/>
      <c r="M318" s="113" t="s">
        <v>1594</v>
      </c>
      <c r="N318" s="136">
        <v>0.5</v>
      </c>
      <c r="O318" s="133">
        <v>0.5</v>
      </c>
      <c r="P318" s="2"/>
      <c r="Q318" s="100" t="s">
        <v>1394</v>
      </c>
      <c r="R318" s="107">
        <v>12</v>
      </c>
      <c r="S318" s="101">
        <v>13</v>
      </c>
      <c r="T318" s="2"/>
    </row>
    <row r="319" spans="1:20" customFormat="1" x14ac:dyDescent="0.3">
      <c r="A319" s="2"/>
      <c r="B319" s="142" t="s">
        <v>1584</v>
      </c>
      <c r="C319" s="91">
        <v>12</v>
      </c>
      <c r="D319" s="91">
        <v>12</v>
      </c>
      <c r="E319" s="91">
        <v>0</v>
      </c>
      <c r="F319" s="91">
        <v>12</v>
      </c>
      <c r="G319" s="91">
        <f t="shared" si="8"/>
        <v>0</v>
      </c>
      <c r="H319" s="91">
        <v>9</v>
      </c>
      <c r="I319" s="91">
        <f t="shared" si="9"/>
        <v>3</v>
      </c>
      <c r="J319" s="143">
        <f t="shared" si="10"/>
        <v>0.75</v>
      </c>
      <c r="K319" s="143">
        <f t="shared" si="11"/>
        <v>0.25</v>
      </c>
      <c r="L319" s="2"/>
      <c r="M319" s="113" t="s">
        <v>1218</v>
      </c>
      <c r="N319" s="136">
        <v>0.5</v>
      </c>
      <c r="O319" s="133">
        <v>0.5</v>
      </c>
      <c r="P319" s="2"/>
      <c r="Q319" s="100" t="s">
        <v>1404</v>
      </c>
      <c r="R319" s="107">
        <v>6</v>
      </c>
      <c r="S319" s="101">
        <v>9</v>
      </c>
      <c r="T319" s="2"/>
    </row>
    <row r="320" spans="1:20" customFormat="1" x14ac:dyDescent="0.3">
      <c r="A320" s="2"/>
      <c r="B320" s="142" t="s">
        <v>1231</v>
      </c>
      <c r="C320" s="91">
        <v>8</v>
      </c>
      <c r="D320" s="91">
        <v>8</v>
      </c>
      <c r="E320" s="91">
        <v>2</v>
      </c>
      <c r="F320" s="91">
        <v>6</v>
      </c>
      <c r="G320" s="91">
        <f t="shared" si="8"/>
        <v>0</v>
      </c>
      <c r="H320" s="91">
        <v>6</v>
      </c>
      <c r="I320" s="91">
        <f t="shared" si="9"/>
        <v>2</v>
      </c>
      <c r="J320" s="143">
        <f t="shared" si="10"/>
        <v>0.75</v>
      </c>
      <c r="K320" s="143">
        <f t="shared" si="11"/>
        <v>0.25</v>
      </c>
      <c r="L320" s="2"/>
      <c r="M320" s="113" t="s">
        <v>1345</v>
      </c>
      <c r="N320" s="136">
        <v>0.5</v>
      </c>
      <c r="O320" s="133">
        <v>0.5</v>
      </c>
      <c r="P320" s="2"/>
      <c r="Q320" s="100" t="s">
        <v>1410</v>
      </c>
      <c r="R320" s="107">
        <v>6</v>
      </c>
      <c r="S320" s="101">
        <v>6</v>
      </c>
      <c r="T320" s="2"/>
    </row>
    <row r="321" spans="1:20" customFormat="1" x14ac:dyDescent="0.3">
      <c r="A321" s="2"/>
      <c r="B321" s="142" t="s">
        <v>1274</v>
      </c>
      <c r="C321" s="91">
        <v>4</v>
      </c>
      <c r="D321" s="91">
        <v>4</v>
      </c>
      <c r="E321" s="91">
        <v>0</v>
      </c>
      <c r="F321" s="91">
        <v>4</v>
      </c>
      <c r="G321" s="91">
        <f t="shared" si="8"/>
        <v>0</v>
      </c>
      <c r="H321" s="91">
        <v>3</v>
      </c>
      <c r="I321" s="91">
        <f t="shared" si="9"/>
        <v>1</v>
      </c>
      <c r="J321" s="143">
        <f t="shared" si="10"/>
        <v>0.75</v>
      </c>
      <c r="K321" s="143">
        <f t="shared" si="11"/>
        <v>0.25</v>
      </c>
      <c r="L321" s="2"/>
      <c r="M321" s="113" t="s">
        <v>1705</v>
      </c>
      <c r="N321" s="136">
        <v>0.5</v>
      </c>
      <c r="O321" s="133">
        <v>0.5</v>
      </c>
      <c r="P321" s="2"/>
      <c r="Q321" s="100" t="s">
        <v>1416</v>
      </c>
      <c r="R321" s="107">
        <v>5</v>
      </c>
      <c r="S321" s="101">
        <v>5</v>
      </c>
      <c r="T321" s="2"/>
    </row>
    <row r="322" spans="1:20" customFormat="1" x14ac:dyDescent="0.3">
      <c r="A322" s="2"/>
      <c r="B322" s="142" t="s">
        <v>1574</v>
      </c>
      <c r="C322" s="91">
        <v>4</v>
      </c>
      <c r="D322" s="91">
        <v>4</v>
      </c>
      <c r="E322" s="91">
        <v>0</v>
      </c>
      <c r="F322" s="91">
        <v>2</v>
      </c>
      <c r="G322" s="91">
        <f t="shared" si="8"/>
        <v>2</v>
      </c>
      <c r="H322" s="91">
        <v>3</v>
      </c>
      <c r="I322" s="91">
        <f t="shared" si="9"/>
        <v>1</v>
      </c>
      <c r="J322" s="143">
        <f t="shared" si="10"/>
        <v>0.75</v>
      </c>
      <c r="K322" s="143">
        <f t="shared" si="11"/>
        <v>0.25</v>
      </c>
      <c r="L322" s="2"/>
      <c r="M322" s="113" t="s">
        <v>1744</v>
      </c>
      <c r="N322" s="136">
        <v>0.5</v>
      </c>
      <c r="O322" s="133">
        <v>0.5</v>
      </c>
      <c r="P322" s="2"/>
      <c r="Q322" s="100" t="s">
        <v>1422</v>
      </c>
      <c r="R322" s="107">
        <v>8</v>
      </c>
      <c r="S322" s="101">
        <v>8</v>
      </c>
      <c r="T322" s="2"/>
    </row>
    <row r="323" spans="1:20" customFormat="1" x14ac:dyDescent="0.3">
      <c r="A323" s="2"/>
      <c r="B323" s="142" t="s">
        <v>1681</v>
      </c>
      <c r="C323" s="91">
        <v>4</v>
      </c>
      <c r="D323" s="91">
        <v>4</v>
      </c>
      <c r="E323" s="91">
        <v>2</v>
      </c>
      <c r="F323" s="91">
        <v>2</v>
      </c>
      <c r="G323" s="91">
        <f t="shared" si="8"/>
        <v>0</v>
      </c>
      <c r="H323" s="91">
        <v>3</v>
      </c>
      <c r="I323" s="91">
        <f t="shared" si="9"/>
        <v>1</v>
      </c>
      <c r="J323" s="143">
        <f t="shared" si="10"/>
        <v>0.75</v>
      </c>
      <c r="K323" s="143">
        <f t="shared" si="11"/>
        <v>0.25</v>
      </c>
      <c r="L323" s="2"/>
      <c r="M323" s="113" t="s">
        <v>1620</v>
      </c>
      <c r="N323" s="136">
        <v>0.5</v>
      </c>
      <c r="O323" s="133">
        <v>0.5</v>
      </c>
      <c r="P323" s="2"/>
      <c r="Q323" s="100" t="s">
        <v>1426</v>
      </c>
      <c r="R323" s="107">
        <v>3</v>
      </c>
      <c r="S323" s="101">
        <v>3</v>
      </c>
      <c r="T323" s="2"/>
    </row>
    <row r="324" spans="1:20" customFormat="1" x14ac:dyDescent="0.3">
      <c r="A324" s="2"/>
      <c r="B324" s="142" t="s">
        <v>1690</v>
      </c>
      <c r="C324" s="91">
        <v>4</v>
      </c>
      <c r="D324" s="91">
        <v>4</v>
      </c>
      <c r="E324" s="91">
        <v>2</v>
      </c>
      <c r="F324" s="91">
        <v>2</v>
      </c>
      <c r="G324" s="91">
        <f t="shared" si="8"/>
        <v>0</v>
      </c>
      <c r="H324" s="91">
        <v>3</v>
      </c>
      <c r="I324" s="91">
        <f t="shared" si="9"/>
        <v>1</v>
      </c>
      <c r="J324" s="143">
        <f t="shared" si="10"/>
        <v>0.75</v>
      </c>
      <c r="K324" s="143">
        <f t="shared" si="11"/>
        <v>0.25</v>
      </c>
      <c r="L324" s="2"/>
      <c r="M324" s="113" t="s">
        <v>1422</v>
      </c>
      <c r="N324" s="136">
        <v>0.5</v>
      </c>
      <c r="O324" s="133">
        <v>0.5</v>
      </c>
      <c r="P324" s="2"/>
      <c r="Q324" s="100" t="s">
        <v>1430</v>
      </c>
      <c r="R324" s="107">
        <v>2</v>
      </c>
      <c r="S324" s="101">
        <v>2</v>
      </c>
      <c r="T324" s="2"/>
    </row>
    <row r="325" spans="1:20" customFormat="1" x14ac:dyDescent="0.3">
      <c r="A325" s="2"/>
      <c r="B325" s="142" t="s">
        <v>1550</v>
      </c>
      <c r="C325" s="91">
        <v>3</v>
      </c>
      <c r="D325" s="91">
        <v>4</v>
      </c>
      <c r="E325" s="91">
        <v>1</v>
      </c>
      <c r="F325" s="91">
        <v>2</v>
      </c>
      <c r="G325" s="91">
        <f t="shared" si="8"/>
        <v>0</v>
      </c>
      <c r="H325" s="91">
        <v>3</v>
      </c>
      <c r="I325" s="91">
        <f t="shared" si="9"/>
        <v>1</v>
      </c>
      <c r="J325" s="143">
        <f t="shared" si="10"/>
        <v>0.75</v>
      </c>
      <c r="K325" s="143">
        <f t="shared" si="11"/>
        <v>0.25</v>
      </c>
      <c r="L325" s="2"/>
      <c r="M325" s="113" t="s">
        <v>1355</v>
      </c>
      <c r="N325" s="136">
        <v>0.5</v>
      </c>
      <c r="O325" s="133">
        <v>0.5</v>
      </c>
      <c r="P325" s="2"/>
      <c r="Q325" s="100" t="s">
        <v>1431</v>
      </c>
      <c r="R325" s="107">
        <v>2</v>
      </c>
      <c r="S325" s="101">
        <v>2</v>
      </c>
      <c r="T325" s="2"/>
    </row>
    <row r="326" spans="1:20" customFormat="1" x14ac:dyDescent="0.3">
      <c r="A326" s="2"/>
      <c r="B326" s="142" t="s">
        <v>1693</v>
      </c>
      <c r="C326" s="91">
        <v>11</v>
      </c>
      <c r="D326" s="91">
        <v>11</v>
      </c>
      <c r="E326" s="91">
        <v>0</v>
      </c>
      <c r="F326" s="91">
        <v>10</v>
      </c>
      <c r="G326" s="91">
        <f t="shared" si="8"/>
        <v>1</v>
      </c>
      <c r="H326" s="91">
        <v>8</v>
      </c>
      <c r="I326" s="91">
        <f t="shared" si="9"/>
        <v>3</v>
      </c>
      <c r="J326" s="143">
        <f t="shared" si="10"/>
        <v>0.72727272727272729</v>
      </c>
      <c r="K326" s="143">
        <f t="shared" si="11"/>
        <v>0.27272727272727271</v>
      </c>
      <c r="L326" s="2"/>
      <c r="M326" s="113" t="s">
        <v>1249</v>
      </c>
      <c r="N326" s="136">
        <v>0.5</v>
      </c>
      <c r="O326" s="133">
        <v>0.5</v>
      </c>
      <c r="P326" s="2"/>
      <c r="Q326" s="100" t="s">
        <v>1433</v>
      </c>
      <c r="R326" s="107">
        <v>11</v>
      </c>
      <c r="S326" s="101">
        <v>11</v>
      </c>
      <c r="T326" s="2"/>
    </row>
    <row r="327" spans="1:20" customFormat="1" x14ac:dyDescent="0.3">
      <c r="A327" s="2"/>
      <c r="B327" s="142" t="s">
        <v>1266</v>
      </c>
      <c r="C327" s="91">
        <v>7</v>
      </c>
      <c r="D327" s="91">
        <v>7</v>
      </c>
      <c r="E327" s="91">
        <v>0</v>
      </c>
      <c r="F327" s="91">
        <v>6</v>
      </c>
      <c r="G327" s="91">
        <f t="shared" si="8"/>
        <v>1</v>
      </c>
      <c r="H327" s="91">
        <v>5</v>
      </c>
      <c r="I327" s="91">
        <f t="shared" si="9"/>
        <v>2</v>
      </c>
      <c r="J327" s="143">
        <f t="shared" si="10"/>
        <v>0.7142857142857143</v>
      </c>
      <c r="K327" s="143">
        <f t="shared" si="11"/>
        <v>0.2857142857142857</v>
      </c>
      <c r="L327" s="2"/>
      <c r="M327" s="113" t="s">
        <v>1477</v>
      </c>
      <c r="N327" s="136">
        <v>0.5</v>
      </c>
      <c r="O327" s="133">
        <v>0.5</v>
      </c>
      <c r="P327" s="2"/>
      <c r="Q327" s="100" t="s">
        <v>1440</v>
      </c>
      <c r="R327" s="107">
        <v>3</v>
      </c>
      <c r="S327" s="101">
        <v>3</v>
      </c>
      <c r="T327" s="2"/>
    </row>
    <row r="328" spans="1:20" customFormat="1" x14ac:dyDescent="0.3">
      <c r="A328" s="2"/>
      <c r="B328" s="142" t="s">
        <v>1387</v>
      </c>
      <c r="C328" s="91">
        <v>7</v>
      </c>
      <c r="D328" s="91">
        <v>7</v>
      </c>
      <c r="E328" s="91">
        <v>1</v>
      </c>
      <c r="F328" s="91">
        <v>6</v>
      </c>
      <c r="G328" s="91">
        <f t="shared" si="8"/>
        <v>0</v>
      </c>
      <c r="H328" s="91">
        <v>5</v>
      </c>
      <c r="I328" s="91">
        <f t="shared" si="9"/>
        <v>2</v>
      </c>
      <c r="J328" s="143">
        <f t="shared" si="10"/>
        <v>0.7142857142857143</v>
      </c>
      <c r="K328" s="143">
        <f t="shared" si="11"/>
        <v>0.2857142857142857</v>
      </c>
      <c r="L328" s="2"/>
      <c r="M328" s="113" t="s">
        <v>1430</v>
      </c>
      <c r="N328" s="136">
        <v>0.5</v>
      </c>
      <c r="O328" s="133">
        <v>0.5</v>
      </c>
      <c r="P328" s="2"/>
      <c r="Q328" s="100" t="s">
        <v>1443</v>
      </c>
      <c r="R328" s="107">
        <v>2</v>
      </c>
      <c r="S328" s="101">
        <v>2</v>
      </c>
      <c r="T328" s="2"/>
    </row>
    <row r="329" spans="1:20" customFormat="1" x14ac:dyDescent="0.3">
      <c r="A329" s="2"/>
      <c r="B329" s="142" t="s">
        <v>1540</v>
      </c>
      <c r="C329" s="91">
        <v>7</v>
      </c>
      <c r="D329" s="91">
        <v>7</v>
      </c>
      <c r="E329" s="91">
        <v>3</v>
      </c>
      <c r="F329" s="91">
        <v>4</v>
      </c>
      <c r="G329" s="91">
        <f t="shared" si="8"/>
        <v>0</v>
      </c>
      <c r="H329" s="91">
        <v>5</v>
      </c>
      <c r="I329" s="91">
        <f t="shared" si="9"/>
        <v>2</v>
      </c>
      <c r="J329" s="143">
        <f t="shared" si="10"/>
        <v>0.7142857142857143</v>
      </c>
      <c r="K329" s="143">
        <f t="shared" si="11"/>
        <v>0.2857142857142857</v>
      </c>
      <c r="L329" s="2"/>
      <c r="M329" s="113" t="s">
        <v>1724</v>
      </c>
      <c r="N329" s="136">
        <v>0.5</v>
      </c>
      <c r="O329" s="133">
        <v>0.5</v>
      </c>
      <c r="P329" s="2"/>
      <c r="Q329" s="100" t="s">
        <v>1445</v>
      </c>
      <c r="R329" s="107">
        <v>3</v>
      </c>
      <c r="S329" s="101">
        <v>3</v>
      </c>
      <c r="T329" s="2"/>
    </row>
    <row r="330" spans="1:20" customFormat="1" x14ac:dyDescent="0.3">
      <c r="A330" s="2"/>
      <c r="B330" s="142" t="s">
        <v>1650</v>
      </c>
      <c r="C330" s="91">
        <v>7</v>
      </c>
      <c r="D330" s="91">
        <v>7</v>
      </c>
      <c r="E330" s="91">
        <v>0</v>
      </c>
      <c r="F330" s="91">
        <v>5</v>
      </c>
      <c r="G330" s="91">
        <f t="shared" si="8"/>
        <v>2</v>
      </c>
      <c r="H330" s="91">
        <v>5</v>
      </c>
      <c r="I330" s="91">
        <f t="shared" si="9"/>
        <v>2</v>
      </c>
      <c r="J330" s="143">
        <f t="shared" si="10"/>
        <v>0.7142857142857143</v>
      </c>
      <c r="K330" s="143">
        <f t="shared" si="11"/>
        <v>0.2857142857142857</v>
      </c>
      <c r="L330" s="2"/>
      <c r="M330" s="113" t="s">
        <v>1358</v>
      </c>
      <c r="N330" s="136">
        <v>0.5</v>
      </c>
      <c r="O330" s="133">
        <v>0.5</v>
      </c>
      <c r="P330" s="2"/>
      <c r="Q330" s="100" t="s">
        <v>1448</v>
      </c>
      <c r="R330" s="107">
        <v>7</v>
      </c>
      <c r="S330" s="101">
        <v>7</v>
      </c>
      <c r="T330" s="2"/>
    </row>
    <row r="331" spans="1:20" customFormat="1" x14ac:dyDescent="0.3">
      <c r="A331" s="2"/>
      <c r="B331" s="142" t="s">
        <v>1711</v>
      </c>
      <c r="C331" s="91">
        <v>6</v>
      </c>
      <c r="D331" s="91">
        <v>7</v>
      </c>
      <c r="E331" s="91">
        <v>0</v>
      </c>
      <c r="F331" s="91">
        <v>6</v>
      </c>
      <c r="G331" s="91">
        <f t="shared" si="8"/>
        <v>0</v>
      </c>
      <c r="H331" s="91">
        <v>5</v>
      </c>
      <c r="I331" s="91">
        <f t="shared" si="9"/>
        <v>2</v>
      </c>
      <c r="J331" s="143">
        <f t="shared" si="10"/>
        <v>0.7142857142857143</v>
      </c>
      <c r="K331" s="143">
        <f t="shared" si="11"/>
        <v>0.2857142857142857</v>
      </c>
      <c r="L331" s="2"/>
      <c r="M331" s="113" t="s">
        <v>1431</v>
      </c>
      <c r="N331" s="136">
        <v>0.5</v>
      </c>
      <c r="O331" s="133">
        <v>0.5</v>
      </c>
      <c r="P331" s="2"/>
      <c r="Q331" s="100" t="s">
        <v>1454</v>
      </c>
      <c r="R331" s="107">
        <v>2</v>
      </c>
      <c r="S331" s="101">
        <v>3</v>
      </c>
      <c r="T331" s="2"/>
    </row>
    <row r="332" spans="1:20" customFormat="1" x14ac:dyDescent="0.3">
      <c r="A332" s="2"/>
      <c r="B332" s="142" t="s">
        <v>1696</v>
      </c>
      <c r="C332" s="91">
        <v>9</v>
      </c>
      <c r="D332" s="91">
        <v>9</v>
      </c>
      <c r="E332" s="91">
        <v>3</v>
      </c>
      <c r="F332" s="91">
        <v>5</v>
      </c>
      <c r="G332" s="91">
        <f t="shared" si="8"/>
        <v>1</v>
      </c>
      <c r="H332" s="91">
        <v>6</v>
      </c>
      <c r="I332" s="91">
        <f t="shared" si="9"/>
        <v>3</v>
      </c>
      <c r="J332" s="143">
        <f t="shared" si="10"/>
        <v>0.66666666666666663</v>
      </c>
      <c r="K332" s="143">
        <f t="shared" si="11"/>
        <v>0.33333333333333331</v>
      </c>
      <c r="L332" s="2"/>
      <c r="M332" s="113" t="s">
        <v>1374</v>
      </c>
      <c r="N332" s="136">
        <v>0.5</v>
      </c>
      <c r="O332" s="133">
        <v>0.5</v>
      </c>
      <c r="P332" s="2"/>
      <c r="Q332" s="100" t="s">
        <v>1457</v>
      </c>
      <c r="R332" s="107">
        <v>2</v>
      </c>
      <c r="S332" s="101">
        <v>2</v>
      </c>
      <c r="T332" s="2"/>
    </row>
    <row r="333" spans="1:20" customFormat="1" x14ac:dyDescent="0.3">
      <c r="A333" s="2"/>
      <c r="B333" s="142" t="s">
        <v>1306</v>
      </c>
      <c r="C333" s="91">
        <v>6</v>
      </c>
      <c r="D333" s="91">
        <v>6</v>
      </c>
      <c r="E333" s="91">
        <v>1</v>
      </c>
      <c r="F333" s="91">
        <v>5</v>
      </c>
      <c r="G333" s="91">
        <f t="shared" si="8"/>
        <v>0</v>
      </c>
      <c r="H333" s="91">
        <v>4</v>
      </c>
      <c r="I333" s="91">
        <f t="shared" si="9"/>
        <v>2</v>
      </c>
      <c r="J333" s="143">
        <f t="shared" si="10"/>
        <v>0.66666666666666663</v>
      </c>
      <c r="K333" s="143">
        <f t="shared" si="11"/>
        <v>0.33333333333333331</v>
      </c>
      <c r="L333" s="2"/>
      <c r="M333" s="113" t="s">
        <v>1481</v>
      </c>
      <c r="N333" s="136">
        <v>0.5</v>
      </c>
      <c r="O333" s="133">
        <v>0.5</v>
      </c>
      <c r="P333" s="2"/>
      <c r="Q333" s="100" t="s">
        <v>1460</v>
      </c>
      <c r="R333" s="107">
        <v>2</v>
      </c>
      <c r="S333" s="101">
        <v>2</v>
      </c>
      <c r="T333" s="2"/>
    </row>
    <row r="334" spans="1:20" customFormat="1" x14ac:dyDescent="0.3">
      <c r="A334" s="2"/>
      <c r="B334" s="142" t="s">
        <v>1718</v>
      </c>
      <c r="C334" s="91">
        <v>6</v>
      </c>
      <c r="D334" s="91">
        <v>6</v>
      </c>
      <c r="E334" s="91">
        <v>0</v>
      </c>
      <c r="F334" s="91">
        <v>6</v>
      </c>
      <c r="G334" s="91">
        <f t="shared" si="8"/>
        <v>0</v>
      </c>
      <c r="H334" s="91">
        <v>4</v>
      </c>
      <c r="I334" s="91">
        <f t="shared" si="9"/>
        <v>2</v>
      </c>
      <c r="J334" s="143">
        <f t="shared" si="10"/>
        <v>0.66666666666666663</v>
      </c>
      <c r="K334" s="143">
        <f t="shared" si="11"/>
        <v>0.33333333333333331</v>
      </c>
      <c r="L334" s="2"/>
      <c r="M334" s="114" t="s">
        <v>1504</v>
      </c>
      <c r="N334" s="136">
        <v>0.53846153846153844</v>
      </c>
      <c r="O334" s="133">
        <v>0.46153846153846156</v>
      </c>
      <c r="P334" s="2"/>
      <c r="Q334" s="100" t="s">
        <v>1463</v>
      </c>
      <c r="R334" s="107">
        <v>9</v>
      </c>
      <c r="S334" s="101">
        <v>10</v>
      </c>
      <c r="T334" s="2"/>
    </row>
    <row r="335" spans="1:20" customFormat="1" x14ac:dyDescent="0.3">
      <c r="A335" s="2"/>
      <c r="B335" s="142" t="s">
        <v>1297</v>
      </c>
      <c r="C335" s="91">
        <v>3</v>
      </c>
      <c r="D335" s="91">
        <v>3</v>
      </c>
      <c r="E335" s="91">
        <v>0</v>
      </c>
      <c r="F335" s="91">
        <v>3</v>
      </c>
      <c r="G335" s="91">
        <f t="shared" si="8"/>
        <v>0</v>
      </c>
      <c r="H335" s="91">
        <v>2</v>
      </c>
      <c r="I335" s="91">
        <f t="shared" si="9"/>
        <v>1</v>
      </c>
      <c r="J335" s="143">
        <f t="shared" si="10"/>
        <v>0.66666666666666663</v>
      </c>
      <c r="K335" s="143">
        <f t="shared" si="11"/>
        <v>0.33333333333333331</v>
      </c>
      <c r="L335" s="2"/>
      <c r="M335" s="112" t="s">
        <v>1255</v>
      </c>
      <c r="N335" s="136">
        <v>0.55555555555555558</v>
      </c>
      <c r="O335" s="133">
        <v>0.44444444444444442</v>
      </c>
      <c r="P335" s="2"/>
      <c r="Q335" s="100" t="s">
        <v>1469</v>
      </c>
      <c r="R335" s="107">
        <v>3</v>
      </c>
      <c r="S335" s="101">
        <v>3</v>
      </c>
      <c r="T335" s="2"/>
    </row>
    <row r="336" spans="1:20" customFormat="1" x14ac:dyDescent="0.3">
      <c r="A336" s="2"/>
      <c r="B336" s="142" t="s">
        <v>1426</v>
      </c>
      <c r="C336" s="91">
        <v>3</v>
      </c>
      <c r="D336" s="91">
        <v>3</v>
      </c>
      <c r="E336" s="91">
        <v>0</v>
      </c>
      <c r="F336" s="91">
        <v>3</v>
      </c>
      <c r="G336" s="91">
        <f t="shared" si="8"/>
        <v>0</v>
      </c>
      <c r="H336" s="91">
        <v>2</v>
      </c>
      <c r="I336" s="91">
        <f t="shared" si="9"/>
        <v>1</v>
      </c>
      <c r="J336" s="143">
        <f t="shared" si="10"/>
        <v>0.66666666666666663</v>
      </c>
      <c r="K336" s="143">
        <f t="shared" si="11"/>
        <v>0.33333333333333331</v>
      </c>
      <c r="L336" s="2"/>
      <c r="M336" s="113" t="s">
        <v>1404</v>
      </c>
      <c r="N336" s="136">
        <v>0.55555555555555558</v>
      </c>
      <c r="O336" s="133">
        <v>0.44444444444444442</v>
      </c>
      <c r="P336" s="2"/>
      <c r="Q336" s="100" t="s">
        <v>1472</v>
      </c>
      <c r="R336" s="107">
        <v>3</v>
      </c>
      <c r="S336" s="101">
        <v>3</v>
      </c>
      <c r="T336" s="2"/>
    </row>
    <row r="337" spans="1:20" customFormat="1" x14ac:dyDescent="0.3">
      <c r="A337" s="2"/>
      <c r="B337" s="142" t="s">
        <v>1440</v>
      </c>
      <c r="C337" s="91">
        <v>3</v>
      </c>
      <c r="D337" s="91">
        <v>3</v>
      </c>
      <c r="E337" s="91">
        <v>0</v>
      </c>
      <c r="F337" s="91">
        <v>2</v>
      </c>
      <c r="G337" s="91">
        <f t="shared" si="8"/>
        <v>1</v>
      </c>
      <c r="H337" s="91">
        <v>2</v>
      </c>
      <c r="I337" s="91">
        <f t="shared" si="9"/>
        <v>1</v>
      </c>
      <c r="J337" s="143">
        <f t="shared" si="10"/>
        <v>0.66666666666666663</v>
      </c>
      <c r="K337" s="143">
        <f t="shared" si="11"/>
        <v>0.33333333333333331</v>
      </c>
      <c r="L337" s="2"/>
      <c r="M337" s="113" t="s">
        <v>1612</v>
      </c>
      <c r="N337" s="136">
        <v>0.55555555555555558</v>
      </c>
      <c r="O337" s="133">
        <v>0.44444444444444442</v>
      </c>
      <c r="P337" s="2"/>
      <c r="Q337" s="100" t="s">
        <v>1475</v>
      </c>
      <c r="R337" s="107">
        <v>3</v>
      </c>
      <c r="S337" s="101">
        <v>3</v>
      </c>
      <c r="T337" s="2"/>
    </row>
    <row r="338" spans="1:20" customFormat="1" x14ac:dyDescent="0.3">
      <c r="A338" s="2"/>
      <c r="B338" s="142" t="s">
        <v>1475</v>
      </c>
      <c r="C338" s="91">
        <v>3</v>
      </c>
      <c r="D338" s="91">
        <v>3</v>
      </c>
      <c r="E338" s="91">
        <v>0</v>
      </c>
      <c r="F338" s="91">
        <v>3</v>
      </c>
      <c r="G338" s="91">
        <f t="shared" si="8"/>
        <v>0</v>
      </c>
      <c r="H338" s="91">
        <v>2</v>
      </c>
      <c r="I338" s="91">
        <f t="shared" si="9"/>
        <v>1</v>
      </c>
      <c r="J338" s="143">
        <f t="shared" si="10"/>
        <v>0.66666666666666663</v>
      </c>
      <c r="K338" s="143">
        <f t="shared" si="11"/>
        <v>0.33333333333333331</v>
      </c>
      <c r="L338" s="2"/>
      <c r="M338" s="113" t="s">
        <v>1286</v>
      </c>
      <c r="N338" s="136">
        <v>0.5714285714285714</v>
      </c>
      <c r="O338" s="133">
        <v>0.42857142857142855</v>
      </c>
      <c r="P338" s="2"/>
      <c r="Q338" s="100" t="s">
        <v>1477</v>
      </c>
      <c r="R338" s="107">
        <v>2</v>
      </c>
      <c r="S338" s="101">
        <v>2</v>
      </c>
      <c r="T338" s="2"/>
    </row>
    <row r="339" spans="1:20" customFormat="1" x14ac:dyDescent="0.3">
      <c r="A339" s="2"/>
      <c r="B339" s="142" t="s">
        <v>1496</v>
      </c>
      <c r="C339" s="91">
        <v>2</v>
      </c>
      <c r="D339" s="91">
        <v>3</v>
      </c>
      <c r="E339" s="91">
        <v>1</v>
      </c>
      <c r="F339" s="91">
        <v>1</v>
      </c>
      <c r="G339" s="91">
        <f t="shared" si="8"/>
        <v>0</v>
      </c>
      <c r="H339" s="91">
        <v>2</v>
      </c>
      <c r="I339" s="91">
        <f t="shared" si="9"/>
        <v>1</v>
      </c>
      <c r="J339" s="143">
        <f t="shared" si="10"/>
        <v>0.66666666666666663</v>
      </c>
      <c r="K339" s="143">
        <f t="shared" si="11"/>
        <v>0.33333333333333331</v>
      </c>
      <c r="L339" s="2"/>
      <c r="M339" s="113" t="s">
        <v>1683</v>
      </c>
      <c r="N339" s="136">
        <v>0.5714285714285714</v>
      </c>
      <c r="O339" s="133">
        <v>0.42857142857142855</v>
      </c>
      <c r="P339" s="2"/>
      <c r="Q339" s="100" t="s">
        <v>1479</v>
      </c>
      <c r="R339" s="107">
        <v>2</v>
      </c>
      <c r="S339" s="101">
        <v>2</v>
      </c>
      <c r="T339" s="2"/>
    </row>
    <row r="340" spans="1:20" customFormat="1" x14ac:dyDescent="0.3">
      <c r="A340" s="2"/>
      <c r="B340" s="142" t="s">
        <v>1514</v>
      </c>
      <c r="C340" s="91">
        <v>14</v>
      </c>
      <c r="D340" s="91">
        <v>16</v>
      </c>
      <c r="E340" s="91">
        <v>3</v>
      </c>
      <c r="F340" s="91">
        <v>11</v>
      </c>
      <c r="G340" s="91">
        <f t="shared" si="8"/>
        <v>0</v>
      </c>
      <c r="H340" s="91">
        <v>10</v>
      </c>
      <c r="I340" s="91">
        <f t="shared" si="9"/>
        <v>6</v>
      </c>
      <c r="J340" s="143">
        <f t="shared" si="10"/>
        <v>0.625</v>
      </c>
      <c r="K340" s="143">
        <f t="shared" si="11"/>
        <v>0.375</v>
      </c>
      <c r="L340" s="2"/>
      <c r="M340" s="113" t="s">
        <v>1501</v>
      </c>
      <c r="N340" s="136">
        <v>0.6</v>
      </c>
      <c r="O340" s="133">
        <v>0.4</v>
      </c>
      <c r="P340" s="2"/>
      <c r="Q340" s="100" t="s">
        <v>1481</v>
      </c>
      <c r="R340" s="107">
        <v>2</v>
      </c>
      <c r="S340" s="101">
        <v>2</v>
      </c>
      <c r="T340" s="2"/>
    </row>
    <row r="341" spans="1:20" customFormat="1" x14ac:dyDescent="0.3">
      <c r="A341" s="2"/>
      <c r="B341" s="142" t="s">
        <v>1380</v>
      </c>
      <c r="C341" s="91">
        <v>8</v>
      </c>
      <c r="D341" s="91">
        <v>8</v>
      </c>
      <c r="E341" s="91">
        <v>1</v>
      </c>
      <c r="F341" s="91">
        <v>7</v>
      </c>
      <c r="G341" s="91">
        <f t="shared" si="8"/>
        <v>0</v>
      </c>
      <c r="H341" s="91">
        <v>5</v>
      </c>
      <c r="I341" s="91">
        <f t="shared" si="9"/>
        <v>3</v>
      </c>
      <c r="J341" s="143">
        <f t="shared" si="10"/>
        <v>0.625</v>
      </c>
      <c r="K341" s="143">
        <f t="shared" si="11"/>
        <v>0.375</v>
      </c>
      <c r="L341" s="2"/>
      <c r="M341" s="113" t="s">
        <v>1350</v>
      </c>
      <c r="N341" s="136">
        <v>0.6</v>
      </c>
      <c r="O341" s="133">
        <v>0.4</v>
      </c>
      <c r="P341" s="2"/>
      <c r="Q341" s="100" t="s">
        <v>1482</v>
      </c>
      <c r="R341" s="107">
        <v>3</v>
      </c>
      <c r="S341" s="101">
        <v>3</v>
      </c>
      <c r="T341" s="2"/>
    </row>
    <row r="342" spans="1:20" customFormat="1" x14ac:dyDescent="0.3">
      <c r="A342" s="2"/>
      <c r="B342" s="142" t="s">
        <v>1742</v>
      </c>
      <c r="C342" s="91">
        <v>8</v>
      </c>
      <c r="D342" s="91">
        <v>8</v>
      </c>
      <c r="E342" s="91">
        <v>1</v>
      </c>
      <c r="F342" s="91">
        <v>7</v>
      </c>
      <c r="G342" s="91">
        <f t="shared" si="8"/>
        <v>0</v>
      </c>
      <c r="H342" s="91">
        <v>5</v>
      </c>
      <c r="I342" s="91">
        <f t="shared" si="9"/>
        <v>3</v>
      </c>
      <c r="J342" s="143">
        <f t="shared" si="10"/>
        <v>0.625</v>
      </c>
      <c r="K342" s="143">
        <f t="shared" si="11"/>
        <v>0.375</v>
      </c>
      <c r="L342" s="2"/>
      <c r="M342" s="113" t="s">
        <v>1686</v>
      </c>
      <c r="N342" s="136">
        <v>0.6</v>
      </c>
      <c r="O342" s="133">
        <v>0.4</v>
      </c>
      <c r="P342" s="2"/>
      <c r="Q342" s="100" t="s">
        <v>1485</v>
      </c>
      <c r="R342" s="107">
        <v>2</v>
      </c>
      <c r="S342" s="101">
        <v>2</v>
      </c>
      <c r="T342" s="2"/>
    </row>
    <row r="343" spans="1:20" customFormat="1" x14ac:dyDescent="0.3">
      <c r="A343" s="2"/>
      <c r="B343" s="142" t="s">
        <v>1569</v>
      </c>
      <c r="C343" s="91">
        <v>5</v>
      </c>
      <c r="D343" s="91">
        <v>8</v>
      </c>
      <c r="E343" s="91">
        <v>1</v>
      </c>
      <c r="F343" s="91">
        <v>4</v>
      </c>
      <c r="G343" s="91">
        <f t="shared" si="8"/>
        <v>0</v>
      </c>
      <c r="H343" s="91">
        <v>5</v>
      </c>
      <c r="I343" s="91">
        <f t="shared" si="9"/>
        <v>3</v>
      </c>
      <c r="J343" s="143">
        <f t="shared" si="10"/>
        <v>0.625</v>
      </c>
      <c r="K343" s="143">
        <f t="shared" si="11"/>
        <v>0.375</v>
      </c>
      <c r="L343" s="2"/>
      <c r="M343" s="113" t="s">
        <v>1533</v>
      </c>
      <c r="N343" s="136">
        <v>0.6</v>
      </c>
      <c r="O343" s="133">
        <v>0.4</v>
      </c>
      <c r="P343" s="2"/>
      <c r="Q343" s="100" t="s">
        <v>1488</v>
      </c>
      <c r="R343" s="107">
        <v>5</v>
      </c>
      <c r="S343" s="101">
        <v>5</v>
      </c>
      <c r="T343" s="2"/>
    </row>
    <row r="344" spans="1:20" customFormat="1" x14ac:dyDescent="0.3">
      <c r="A344" s="2"/>
      <c r="B344" s="142" t="s">
        <v>1350</v>
      </c>
      <c r="C344" s="91">
        <v>5</v>
      </c>
      <c r="D344" s="91">
        <v>5</v>
      </c>
      <c r="E344" s="91">
        <v>3</v>
      </c>
      <c r="F344" s="91">
        <v>2</v>
      </c>
      <c r="G344" s="91">
        <f t="shared" si="8"/>
        <v>0</v>
      </c>
      <c r="H344" s="91">
        <v>3</v>
      </c>
      <c r="I344" s="91">
        <f t="shared" si="9"/>
        <v>2</v>
      </c>
      <c r="J344" s="143">
        <f t="shared" si="10"/>
        <v>0.6</v>
      </c>
      <c r="K344" s="143">
        <f t="shared" si="11"/>
        <v>0.4</v>
      </c>
      <c r="L344" s="2"/>
      <c r="M344" s="113" t="s">
        <v>1633</v>
      </c>
      <c r="N344" s="136">
        <v>0.6</v>
      </c>
      <c r="O344" s="133">
        <v>0.4</v>
      </c>
      <c r="P344" s="2"/>
      <c r="Q344" s="100" t="s">
        <v>1493</v>
      </c>
      <c r="R344" s="107">
        <v>2</v>
      </c>
      <c r="S344" s="101">
        <v>2</v>
      </c>
      <c r="T344" s="2"/>
    </row>
    <row r="345" spans="1:20" customFormat="1" x14ac:dyDescent="0.3">
      <c r="A345" s="2"/>
      <c r="B345" s="142" t="s">
        <v>1501</v>
      </c>
      <c r="C345" s="91">
        <v>5</v>
      </c>
      <c r="D345" s="91">
        <v>5</v>
      </c>
      <c r="E345" s="91">
        <v>1</v>
      </c>
      <c r="F345" s="91">
        <v>4</v>
      </c>
      <c r="G345" s="91">
        <f t="shared" si="8"/>
        <v>0</v>
      </c>
      <c r="H345" s="91">
        <v>3</v>
      </c>
      <c r="I345" s="91">
        <f t="shared" si="9"/>
        <v>2</v>
      </c>
      <c r="J345" s="143">
        <f t="shared" si="10"/>
        <v>0.6</v>
      </c>
      <c r="K345" s="143">
        <f t="shared" si="11"/>
        <v>0.4</v>
      </c>
      <c r="L345" s="2"/>
      <c r="M345" s="113" t="s">
        <v>1742</v>
      </c>
      <c r="N345" s="136">
        <v>0.625</v>
      </c>
      <c r="O345" s="133">
        <v>0.375</v>
      </c>
      <c r="P345" s="2"/>
      <c r="Q345" s="100" t="s">
        <v>1496</v>
      </c>
      <c r="R345" s="107">
        <v>2</v>
      </c>
      <c r="S345" s="101">
        <v>3</v>
      </c>
      <c r="T345" s="2"/>
    </row>
    <row r="346" spans="1:20" customFormat="1" x14ac:dyDescent="0.3">
      <c r="A346" s="2"/>
      <c r="B346" s="142" t="s">
        <v>1533</v>
      </c>
      <c r="C346" s="91">
        <v>5</v>
      </c>
      <c r="D346" s="91">
        <v>5</v>
      </c>
      <c r="E346" s="91">
        <v>0</v>
      </c>
      <c r="F346" s="91">
        <v>5</v>
      </c>
      <c r="G346" s="91">
        <f t="shared" si="8"/>
        <v>0</v>
      </c>
      <c r="H346" s="91">
        <v>3</v>
      </c>
      <c r="I346" s="91">
        <f t="shared" si="9"/>
        <v>2</v>
      </c>
      <c r="J346" s="143">
        <f t="shared" si="10"/>
        <v>0.6</v>
      </c>
      <c r="K346" s="143">
        <f t="shared" si="11"/>
        <v>0.4</v>
      </c>
      <c r="L346" s="2"/>
      <c r="M346" s="113" t="s">
        <v>1569</v>
      </c>
      <c r="N346" s="136">
        <v>0.625</v>
      </c>
      <c r="O346" s="133">
        <v>0.375</v>
      </c>
      <c r="P346" s="2"/>
      <c r="Q346" s="100" t="s">
        <v>1499</v>
      </c>
      <c r="R346" s="107">
        <v>2</v>
      </c>
      <c r="S346" s="101">
        <v>2</v>
      </c>
      <c r="T346" s="2"/>
    </row>
    <row r="347" spans="1:20" customFormat="1" x14ac:dyDescent="0.3">
      <c r="A347" s="2"/>
      <c r="B347" s="142" t="s">
        <v>1633</v>
      </c>
      <c r="C347" s="91">
        <v>5</v>
      </c>
      <c r="D347" s="91">
        <v>5</v>
      </c>
      <c r="E347" s="91">
        <v>2</v>
      </c>
      <c r="F347" s="91">
        <v>3</v>
      </c>
      <c r="G347" s="91">
        <f t="shared" ref="G347:G378" si="12">$C347-($E347+$F347)</f>
        <v>0</v>
      </c>
      <c r="H347" s="91">
        <v>3</v>
      </c>
      <c r="I347" s="91">
        <f t="shared" ref="I347:I378" si="13">$D347-$H347</f>
        <v>2</v>
      </c>
      <c r="J347" s="143">
        <f t="shared" ref="J347:J378" si="14">$H347/$D347</f>
        <v>0.6</v>
      </c>
      <c r="K347" s="143">
        <f t="shared" ref="K347:K378" si="15">$I347/$D347</f>
        <v>0.4</v>
      </c>
      <c r="L347" s="2"/>
      <c r="M347" s="113" t="s">
        <v>1514</v>
      </c>
      <c r="N347" s="136">
        <v>0.625</v>
      </c>
      <c r="O347" s="133">
        <v>0.375</v>
      </c>
      <c r="P347" s="2"/>
      <c r="Q347" s="100" t="s">
        <v>1501</v>
      </c>
      <c r="R347" s="107">
        <v>5</v>
      </c>
      <c r="S347" s="101">
        <v>5</v>
      </c>
      <c r="T347" s="2"/>
    </row>
    <row r="348" spans="1:20" customFormat="1" x14ac:dyDescent="0.3">
      <c r="A348" s="2"/>
      <c r="B348" s="142" t="s">
        <v>1686</v>
      </c>
      <c r="C348" s="91">
        <v>5</v>
      </c>
      <c r="D348" s="91">
        <v>5</v>
      </c>
      <c r="E348" s="91">
        <v>2</v>
      </c>
      <c r="F348" s="91">
        <v>3</v>
      </c>
      <c r="G348" s="91">
        <f t="shared" si="12"/>
        <v>0</v>
      </c>
      <c r="H348" s="91">
        <v>3</v>
      </c>
      <c r="I348" s="91">
        <f t="shared" si="13"/>
        <v>2</v>
      </c>
      <c r="J348" s="143">
        <f t="shared" si="14"/>
        <v>0.6</v>
      </c>
      <c r="K348" s="143">
        <f t="shared" si="15"/>
        <v>0.4</v>
      </c>
      <c r="L348" s="2"/>
      <c r="M348" s="113" t="s">
        <v>1380</v>
      </c>
      <c r="N348" s="136">
        <v>0.625</v>
      </c>
      <c r="O348" s="133">
        <v>0.375</v>
      </c>
      <c r="P348" s="2"/>
      <c r="Q348" s="100" t="s">
        <v>1504</v>
      </c>
      <c r="R348" s="107">
        <v>13</v>
      </c>
      <c r="S348" s="101">
        <v>13</v>
      </c>
      <c r="T348" s="2"/>
    </row>
    <row r="349" spans="1:20" customFormat="1" x14ac:dyDescent="0.3">
      <c r="A349" s="2"/>
      <c r="B349" s="142" t="s">
        <v>1286</v>
      </c>
      <c r="C349" s="91">
        <v>7</v>
      </c>
      <c r="D349" s="91">
        <v>7</v>
      </c>
      <c r="E349" s="91">
        <v>1</v>
      </c>
      <c r="F349" s="91">
        <v>6</v>
      </c>
      <c r="G349" s="91">
        <f t="shared" si="12"/>
        <v>0</v>
      </c>
      <c r="H349" s="91">
        <v>4</v>
      </c>
      <c r="I349" s="91">
        <f t="shared" si="13"/>
        <v>3</v>
      </c>
      <c r="J349" s="143">
        <f t="shared" si="14"/>
        <v>0.5714285714285714</v>
      </c>
      <c r="K349" s="143">
        <f t="shared" si="15"/>
        <v>0.42857142857142855</v>
      </c>
      <c r="L349" s="2"/>
      <c r="M349" s="113" t="s">
        <v>1496</v>
      </c>
      <c r="N349" s="136">
        <v>0.66666666666666663</v>
      </c>
      <c r="O349" s="133">
        <v>0.33333333333333331</v>
      </c>
      <c r="P349" s="2"/>
      <c r="Q349" s="100" t="s">
        <v>1514</v>
      </c>
      <c r="R349" s="107">
        <v>14</v>
      </c>
      <c r="S349" s="101">
        <v>16</v>
      </c>
      <c r="T349" s="2"/>
    </row>
    <row r="350" spans="1:20" customFormat="1" x14ac:dyDescent="0.3">
      <c r="A350" s="2"/>
      <c r="B350" s="142" t="s">
        <v>1683</v>
      </c>
      <c r="C350" s="91">
        <v>7</v>
      </c>
      <c r="D350" s="91">
        <v>7</v>
      </c>
      <c r="E350" s="91">
        <v>1</v>
      </c>
      <c r="F350" s="91">
        <v>6</v>
      </c>
      <c r="G350" s="91">
        <f t="shared" si="12"/>
        <v>0</v>
      </c>
      <c r="H350" s="91">
        <v>4</v>
      </c>
      <c r="I350" s="91">
        <f t="shared" si="13"/>
        <v>3</v>
      </c>
      <c r="J350" s="143">
        <f t="shared" si="14"/>
        <v>0.5714285714285714</v>
      </c>
      <c r="K350" s="143">
        <f t="shared" si="15"/>
        <v>0.42857142857142855</v>
      </c>
      <c r="L350" s="2"/>
      <c r="M350" s="113" t="s">
        <v>1426</v>
      </c>
      <c r="N350" s="136">
        <v>0.66666666666666663</v>
      </c>
      <c r="O350" s="133">
        <v>0.33333333333333331</v>
      </c>
      <c r="P350" s="2"/>
      <c r="Q350" s="100" t="s">
        <v>1522</v>
      </c>
      <c r="R350" s="107">
        <v>10</v>
      </c>
      <c r="S350" s="101">
        <v>10</v>
      </c>
      <c r="T350" s="2"/>
    </row>
    <row r="351" spans="1:20" customFormat="1" x14ac:dyDescent="0.3">
      <c r="A351" s="2"/>
      <c r="B351" s="142" t="s">
        <v>1255</v>
      </c>
      <c r="C351" s="91">
        <v>9</v>
      </c>
      <c r="D351" s="91">
        <v>9</v>
      </c>
      <c r="E351" s="91">
        <v>0</v>
      </c>
      <c r="F351" s="91">
        <v>9</v>
      </c>
      <c r="G351" s="91">
        <f t="shared" si="12"/>
        <v>0</v>
      </c>
      <c r="H351" s="91">
        <v>5</v>
      </c>
      <c r="I351" s="91">
        <f t="shared" si="13"/>
        <v>4</v>
      </c>
      <c r="J351" s="143">
        <f t="shared" si="14"/>
        <v>0.55555555555555558</v>
      </c>
      <c r="K351" s="143">
        <f t="shared" si="15"/>
        <v>0.44444444444444442</v>
      </c>
      <c r="L351" s="2"/>
      <c r="M351" s="113" t="s">
        <v>1440</v>
      </c>
      <c r="N351" s="136">
        <v>0.66666666666666663</v>
      </c>
      <c r="O351" s="133">
        <v>0.33333333333333331</v>
      </c>
      <c r="P351" s="2"/>
      <c r="Q351" s="100" t="s">
        <v>1533</v>
      </c>
      <c r="R351" s="107">
        <v>5</v>
      </c>
      <c r="S351" s="101">
        <v>5</v>
      </c>
      <c r="T351" s="2"/>
    </row>
    <row r="352" spans="1:20" customFormat="1" x14ac:dyDescent="0.3">
      <c r="A352" s="2"/>
      <c r="B352" s="142" t="s">
        <v>1612</v>
      </c>
      <c r="C352" s="91">
        <v>9</v>
      </c>
      <c r="D352" s="91">
        <v>9</v>
      </c>
      <c r="E352" s="91">
        <v>0</v>
      </c>
      <c r="F352" s="91">
        <v>8</v>
      </c>
      <c r="G352" s="91">
        <f t="shared" si="12"/>
        <v>1</v>
      </c>
      <c r="H352" s="91">
        <v>5</v>
      </c>
      <c r="I352" s="91">
        <f t="shared" si="13"/>
        <v>4</v>
      </c>
      <c r="J352" s="143">
        <f t="shared" si="14"/>
        <v>0.55555555555555558</v>
      </c>
      <c r="K352" s="143">
        <f t="shared" si="15"/>
        <v>0.44444444444444442</v>
      </c>
      <c r="L352" s="2"/>
      <c r="M352" s="113" t="s">
        <v>1297</v>
      </c>
      <c r="N352" s="136">
        <v>0.66666666666666663</v>
      </c>
      <c r="O352" s="133">
        <v>0.33333333333333331</v>
      </c>
      <c r="P352" s="2"/>
      <c r="Q352" s="100" t="s">
        <v>1537</v>
      </c>
      <c r="R352" s="107">
        <v>2</v>
      </c>
      <c r="S352" s="101">
        <v>2</v>
      </c>
      <c r="T352" s="2"/>
    </row>
    <row r="353" spans="1:20" customFormat="1" x14ac:dyDescent="0.3">
      <c r="A353" s="2"/>
      <c r="B353" s="142" t="s">
        <v>1404</v>
      </c>
      <c r="C353" s="91">
        <v>6</v>
      </c>
      <c r="D353" s="91">
        <v>9</v>
      </c>
      <c r="E353" s="91">
        <v>3</v>
      </c>
      <c r="F353" s="91">
        <v>2</v>
      </c>
      <c r="G353" s="91">
        <f t="shared" si="12"/>
        <v>1</v>
      </c>
      <c r="H353" s="91">
        <v>5</v>
      </c>
      <c r="I353" s="91">
        <f t="shared" si="13"/>
        <v>4</v>
      </c>
      <c r="J353" s="143">
        <f t="shared" si="14"/>
        <v>0.55555555555555558</v>
      </c>
      <c r="K353" s="143">
        <f t="shared" si="15"/>
        <v>0.44444444444444442</v>
      </c>
      <c r="L353" s="2"/>
      <c r="M353" s="113" t="s">
        <v>1718</v>
      </c>
      <c r="N353" s="136">
        <v>0.66666666666666663</v>
      </c>
      <c r="O353" s="133">
        <v>0.33333333333333331</v>
      </c>
      <c r="P353" s="2"/>
      <c r="Q353" s="100" t="s">
        <v>1538</v>
      </c>
      <c r="R353" s="107">
        <v>4</v>
      </c>
      <c r="S353" s="101">
        <v>4</v>
      </c>
      <c r="T353" s="2"/>
    </row>
    <row r="354" spans="1:20" customFormat="1" x14ac:dyDescent="0.3">
      <c r="A354" s="2"/>
      <c r="B354" s="142" t="s">
        <v>1504</v>
      </c>
      <c r="C354" s="91">
        <v>13</v>
      </c>
      <c r="D354" s="91">
        <v>13</v>
      </c>
      <c r="E354" s="91">
        <v>1</v>
      </c>
      <c r="F354" s="91">
        <v>10</v>
      </c>
      <c r="G354" s="91">
        <f t="shared" si="12"/>
        <v>2</v>
      </c>
      <c r="H354" s="91">
        <v>7</v>
      </c>
      <c r="I354" s="91">
        <f t="shared" si="13"/>
        <v>6</v>
      </c>
      <c r="J354" s="143">
        <f t="shared" si="14"/>
        <v>0.53846153846153844</v>
      </c>
      <c r="K354" s="143">
        <f t="shared" si="15"/>
        <v>0.46153846153846156</v>
      </c>
      <c r="L354" s="2"/>
      <c r="M354" s="113" t="s">
        <v>1696</v>
      </c>
      <c r="N354" s="136">
        <v>0.66666666666666663</v>
      </c>
      <c r="O354" s="133">
        <v>0.33333333333333331</v>
      </c>
      <c r="P354" s="2"/>
      <c r="Q354" s="100" t="s">
        <v>1540</v>
      </c>
      <c r="R354" s="107">
        <v>7</v>
      </c>
      <c r="S354" s="101">
        <v>7</v>
      </c>
      <c r="T354" s="2"/>
    </row>
    <row r="355" spans="1:20" customFormat="1" x14ac:dyDescent="0.3">
      <c r="A355" s="2"/>
      <c r="B355" s="142" t="s">
        <v>1358</v>
      </c>
      <c r="C355" s="91">
        <v>8</v>
      </c>
      <c r="D355" s="91">
        <v>8</v>
      </c>
      <c r="E355" s="91">
        <v>0</v>
      </c>
      <c r="F355" s="91">
        <v>7</v>
      </c>
      <c r="G355" s="91">
        <f t="shared" si="12"/>
        <v>1</v>
      </c>
      <c r="H355" s="91">
        <v>4</v>
      </c>
      <c r="I355" s="91">
        <f t="shared" si="13"/>
        <v>4</v>
      </c>
      <c r="J355" s="143">
        <f t="shared" si="14"/>
        <v>0.5</v>
      </c>
      <c r="K355" s="143">
        <f t="shared" si="15"/>
        <v>0.5</v>
      </c>
      <c r="L355" s="2"/>
      <c r="M355" s="113" t="s">
        <v>1306</v>
      </c>
      <c r="N355" s="136">
        <v>0.66666666666666663</v>
      </c>
      <c r="O355" s="133">
        <v>0.33333333333333331</v>
      </c>
      <c r="P355" s="2"/>
      <c r="Q355" s="100" t="s">
        <v>1545</v>
      </c>
      <c r="R355" s="107">
        <v>5</v>
      </c>
      <c r="S355" s="101">
        <v>5</v>
      </c>
      <c r="T355" s="2"/>
    </row>
    <row r="356" spans="1:20" customFormat="1" x14ac:dyDescent="0.3">
      <c r="A356" s="2"/>
      <c r="B356" s="142" t="s">
        <v>1422</v>
      </c>
      <c r="C356" s="91">
        <v>8</v>
      </c>
      <c r="D356" s="91">
        <v>8</v>
      </c>
      <c r="E356" s="91">
        <v>0</v>
      </c>
      <c r="F356" s="91">
        <v>8</v>
      </c>
      <c r="G356" s="91">
        <f t="shared" si="12"/>
        <v>0</v>
      </c>
      <c r="H356" s="91">
        <v>4</v>
      </c>
      <c r="I356" s="91">
        <f t="shared" si="13"/>
        <v>4</v>
      </c>
      <c r="J356" s="143">
        <f t="shared" si="14"/>
        <v>0.5</v>
      </c>
      <c r="K356" s="143">
        <f t="shared" si="15"/>
        <v>0.5</v>
      </c>
      <c r="L356" s="2"/>
      <c r="M356" s="113" t="s">
        <v>1475</v>
      </c>
      <c r="N356" s="136">
        <v>0.66666666666666663</v>
      </c>
      <c r="O356" s="133">
        <v>0.33333333333333331</v>
      </c>
      <c r="P356" s="2"/>
      <c r="Q356" s="100" t="s">
        <v>1550</v>
      </c>
      <c r="R356" s="107">
        <v>3</v>
      </c>
      <c r="S356" s="101">
        <v>4</v>
      </c>
      <c r="T356" s="2"/>
    </row>
    <row r="357" spans="1:20" customFormat="1" x14ac:dyDescent="0.3">
      <c r="A357" s="2"/>
      <c r="B357" s="142" t="s">
        <v>1345</v>
      </c>
      <c r="C357" s="91">
        <v>4</v>
      </c>
      <c r="D357" s="91">
        <v>4</v>
      </c>
      <c r="E357" s="91">
        <v>3</v>
      </c>
      <c r="F357" s="91">
        <v>1</v>
      </c>
      <c r="G357" s="91">
        <f t="shared" si="12"/>
        <v>0</v>
      </c>
      <c r="H357" s="91">
        <v>2</v>
      </c>
      <c r="I357" s="91">
        <f t="shared" si="13"/>
        <v>2</v>
      </c>
      <c r="J357" s="143">
        <f t="shared" si="14"/>
        <v>0.5</v>
      </c>
      <c r="K357" s="143">
        <f t="shared" si="15"/>
        <v>0.5</v>
      </c>
      <c r="L357" s="2"/>
      <c r="M357" s="113" t="s">
        <v>1540</v>
      </c>
      <c r="N357" s="136">
        <v>0.7142857142857143</v>
      </c>
      <c r="O357" s="133">
        <v>0.2857142857142857</v>
      </c>
      <c r="P357" s="2"/>
      <c r="Q357" s="100" t="s">
        <v>1554</v>
      </c>
      <c r="R357" s="107">
        <v>3</v>
      </c>
      <c r="S357" s="101">
        <v>3</v>
      </c>
      <c r="T357" s="2"/>
    </row>
    <row r="358" spans="1:20" customFormat="1" x14ac:dyDescent="0.3">
      <c r="A358" s="2"/>
      <c r="B358" s="142" t="s">
        <v>1705</v>
      </c>
      <c r="C358" s="91">
        <v>4</v>
      </c>
      <c r="D358" s="91">
        <v>4</v>
      </c>
      <c r="E358" s="91">
        <v>1</v>
      </c>
      <c r="F358" s="91">
        <v>3</v>
      </c>
      <c r="G358" s="91">
        <f t="shared" si="12"/>
        <v>0</v>
      </c>
      <c r="H358" s="91">
        <v>2</v>
      </c>
      <c r="I358" s="91">
        <f t="shared" si="13"/>
        <v>2</v>
      </c>
      <c r="J358" s="143">
        <f t="shared" si="14"/>
        <v>0.5</v>
      </c>
      <c r="K358" s="143">
        <f t="shared" si="15"/>
        <v>0.5</v>
      </c>
      <c r="L358" s="2"/>
      <c r="M358" s="113" t="s">
        <v>1711</v>
      </c>
      <c r="N358" s="136">
        <v>0.7142857142857143</v>
      </c>
      <c r="O358" s="133">
        <v>0.2857142857142857</v>
      </c>
      <c r="P358" s="2"/>
      <c r="Q358" s="100" t="s">
        <v>1557</v>
      </c>
      <c r="R358" s="107">
        <v>12</v>
      </c>
      <c r="S358" s="101">
        <v>12</v>
      </c>
      <c r="T358" s="2"/>
    </row>
    <row r="359" spans="1:20" customFormat="1" x14ac:dyDescent="0.3">
      <c r="A359" s="2"/>
      <c r="B359" s="142" t="s">
        <v>1620</v>
      </c>
      <c r="C359" s="91">
        <v>3</v>
      </c>
      <c r="D359" s="91">
        <v>4</v>
      </c>
      <c r="E359" s="91">
        <v>0</v>
      </c>
      <c r="F359" s="91">
        <v>3</v>
      </c>
      <c r="G359" s="91">
        <f t="shared" si="12"/>
        <v>0</v>
      </c>
      <c r="H359" s="91">
        <v>2</v>
      </c>
      <c r="I359" s="91">
        <f t="shared" si="13"/>
        <v>2</v>
      </c>
      <c r="J359" s="143">
        <f t="shared" si="14"/>
        <v>0.5</v>
      </c>
      <c r="K359" s="143">
        <f t="shared" si="15"/>
        <v>0.5</v>
      </c>
      <c r="L359" s="2"/>
      <c r="M359" s="113" t="s">
        <v>1650</v>
      </c>
      <c r="N359" s="136">
        <v>0.7142857142857143</v>
      </c>
      <c r="O359" s="133">
        <v>0.2857142857142857</v>
      </c>
      <c r="P359" s="2"/>
      <c r="Q359" s="100" t="s">
        <v>1569</v>
      </c>
      <c r="R359" s="107">
        <v>5</v>
      </c>
      <c r="S359" s="101">
        <v>8</v>
      </c>
      <c r="T359" s="2"/>
    </row>
    <row r="360" spans="1:20" customFormat="1" x14ac:dyDescent="0.3">
      <c r="A360" s="2"/>
      <c r="B360" s="142" t="s">
        <v>1192</v>
      </c>
      <c r="C360" s="91">
        <v>2</v>
      </c>
      <c r="D360" s="91">
        <v>2</v>
      </c>
      <c r="E360" s="91">
        <v>0</v>
      </c>
      <c r="F360" s="91">
        <v>2</v>
      </c>
      <c r="G360" s="91">
        <f t="shared" si="12"/>
        <v>0</v>
      </c>
      <c r="H360" s="91">
        <v>1</v>
      </c>
      <c r="I360" s="91">
        <f t="shared" si="13"/>
        <v>1</v>
      </c>
      <c r="J360" s="143">
        <f t="shared" si="14"/>
        <v>0.5</v>
      </c>
      <c r="K360" s="143">
        <f t="shared" si="15"/>
        <v>0.5</v>
      </c>
      <c r="L360" s="2"/>
      <c r="M360" s="113" t="s">
        <v>1387</v>
      </c>
      <c r="N360" s="136">
        <v>0.7142857142857143</v>
      </c>
      <c r="O360" s="133">
        <v>0.2857142857142857</v>
      </c>
      <c r="P360" s="2"/>
      <c r="Q360" s="100" t="s">
        <v>1574</v>
      </c>
      <c r="R360" s="107">
        <v>4</v>
      </c>
      <c r="S360" s="101">
        <v>4</v>
      </c>
      <c r="T360" s="2"/>
    </row>
    <row r="361" spans="1:20" customFormat="1" x14ac:dyDescent="0.3">
      <c r="A361" s="2"/>
      <c r="B361" s="142" t="s">
        <v>1218</v>
      </c>
      <c r="C361" s="91">
        <v>2</v>
      </c>
      <c r="D361" s="91">
        <v>2</v>
      </c>
      <c r="E361" s="91">
        <v>0</v>
      </c>
      <c r="F361" s="91">
        <v>2</v>
      </c>
      <c r="G361" s="91">
        <f t="shared" si="12"/>
        <v>0</v>
      </c>
      <c r="H361" s="91">
        <v>1</v>
      </c>
      <c r="I361" s="91">
        <f t="shared" si="13"/>
        <v>1</v>
      </c>
      <c r="J361" s="143">
        <f t="shared" si="14"/>
        <v>0.5</v>
      </c>
      <c r="K361" s="143">
        <f t="shared" si="15"/>
        <v>0.5</v>
      </c>
      <c r="L361" s="2"/>
      <c r="M361" s="113" t="s">
        <v>1266</v>
      </c>
      <c r="N361" s="136">
        <v>0.7142857142857143</v>
      </c>
      <c r="O361" s="133">
        <v>0.2857142857142857</v>
      </c>
      <c r="P361" s="2"/>
      <c r="Q361" s="100" t="s">
        <v>1578</v>
      </c>
      <c r="R361" s="107">
        <v>2</v>
      </c>
      <c r="S361" s="101">
        <v>2</v>
      </c>
      <c r="T361" s="2"/>
    </row>
    <row r="362" spans="1:20" customFormat="1" x14ac:dyDescent="0.3">
      <c r="A362" s="2"/>
      <c r="B362" s="142" t="s">
        <v>1249</v>
      </c>
      <c r="C362" s="91">
        <v>2</v>
      </c>
      <c r="D362" s="91">
        <v>2</v>
      </c>
      <c r="E362" s="91">
        <v>0</v>
      </c>
      <c r="F362" s="91">
        <v>2</v>
      </c>
      <c r="G362" s="91">
        <f t="shared" si="12"/>
        <v>0</v>
      </c>
      <c r="H362" s="91">
        <v>1</v>
      </c>
      <c r="I362" s="91">
        <f t="shared" si="13"/>
        <v>1</v>
      </c>
      <c r="J362" s="143">
        <f t="shared" si="14"/>
        <v>0.5</v>
      </c>
      <c r="K362" s="143">
        <f t="shared" si="15"/>
        <v>0.5</v>
      </c>
      <c r="L362" s="2"/>
      <c r="M362" s="113" t="s">
        <v>1693</v>
      </c>
      <c r="N362" s="136">
        <v>0.72727272727272729</v>
      </c>
      <c r="O362" s="133">
        <v>0.27272727272727271</v>
      </c>
      <c r="P362" s="2"/>
      <c r="Q362" s="100" t="s">
        <v>1581</v>
      </c>
      <c r="R362" s="107">
        <v>3</v>
      </c>
      <c r="S362" s="101">
        <v>3</v>
      </c>
      <c r="T362" s="2"/>
    </row>
    <row r="363" spans="1:20" customFormat="1" x14ac:dyDescent="0.3">
      <c r="A363" s="2"/>
      <c r="B363" s="142" t="s">
        <v>1355</v>
      </c>
      <c r="C363" s="91">
        <v>2</v>
      </c>
      <c r="D363" s="91">
        <v>2</v>
      </c>
      <c r="E363" s="91">
        <v>0</v>
      </c>
      <c r="F363" s="91">
        <v>2</v>
      </c>
      <c r="G363" s="91">
        <f t="shared" si="12"/>
        <v>0</v>
      </c>
      <c r="H363" s="91">
        <v>1</v>
      </c>
      <c r="I363" s="91">
        <f t="shared" si="13"/>
        <v>1</v>
      </c>
      <c r="J363" s="143">
        <f t="shared" si="14"/>
        <v>0.5</v>
      </c>
      <c r="K363" s="143">
        <f t="shared" si="15"/>
        <v>0.5</v>
      </c>
      <c r="L363" s="2"/>
      <c r="M363" s="113" t="s">
        <v>1690</v>
      </c>
      <c r="N363" s="136">
        <v>0.75</v>
      </c>
      <c r="O363" s="133">
        <v>0.25</v>
      </c>
      <c r="P363" s="2"/>
      <c r="Q363" s="100" t="s">
        <v>1584</v>
      </c>
      <c r="R363" s="107">
        <v>12</v>
      </c>
      <c r="S363" s="101">
        <v>12</v>
      </c>
      <c r="T363" s="2"/>
    </row>
    <row r="364" spans="1:20" customFormat="1" x14ac:dyDescent="0.3">
      <c r="A364" s="2"/>
      <c r="B364" s="142" t="s">
        <v>1374</v>
      </c>
      <c r="C364" s="91">
        <v>2</v>
      </c>
      <c r="D364" s="91">
        <v>2</v>
      </c>
      <c r="E364" s="91">
        <v>0</v>
      </c>
      <c r="F364" s="91">
        <v>2</v>
      </c>
      <c r="G364" s="91">
        <f t="shared" si="12"/>
        <v>0</v>
      </c>
      <c r="H364" s="91">
        <v>1</v>
      </c>
      <c r="I364" s="91">
        <f t="shared" si="13"/>
        <v>1</v>
      </c>
      <c r="J364" s="143">
        <f t="shared" si="14"/>
        <v>0.5</v>
      </c>
      <c r="K364" s="143">
        <f t="shared" si="15"/>
        <v>0.5</v>
      </c>
      <c r="L364" s="2"/>
      <c r="M364" s="113" t="s">
        <v>1231</v>
      </c>
      <c r="N364" s="136">
        <v>0.75</v>
      </c>
      <c r="O364" s="133">
        <v>0.25</v>
      </c>
      <c r="P364" s="2"/>
      <c r="Q364" s="100" t="s">
        <v>1591</v>
      </c>
      <c r="R364" s="107">
        <v>4</v>
      </c>
      <c r="S364" s="101">
        <v>4</v>
      </c>
      <c r="T364" s="2"/>
    </row>
    <row r="365" spans="1:20" customFormat="1" x14ac:dyDescent="0.3">
      <c r="A365" s="2"/>
      <c r="B365" s="142" t="s">
        <v>1430</v>
      </c>
      <c r="C365" s="91">
        <v>2</v>
      </c>
      <c r="D365" s="91">
        <v>2</v>
      </c>
      <c r="E365" s="91">
        <v>0</v>
      </c>
      <c r="F365" s="91">
        <v>2</v>
      </c>
      <c r="G365" s="91">
        <f t="shared" si="12"/>
        <v>0</v>
      </c>
      <c r="H365" s="91">
        <v>1</v>
      </c>
      <c r="I365" s="91">
        <f t="shared" si="13"/>
        <v>1</v>
      </c>
      <c r="J365" s="143">
        <f t="shared" si="14"/>
        <v>0.5</v>
      </c>
      <c r="K365" s="143">
        <f t="shared" si="15"/>
        <v>0.5</v>
      </c>
      <c r="L365" s="2"/>
      <c r="M365" s="113" t="s">
        <v>1550</v>
      </c>
      <c r="N365" s="136">
        <v>0.75</v>
      </c>
      <c r="O365" s="133">
        <v>0.25</v>
      </c>
      <c r="P365" s="2"/>
      <c r="Q365" s="100" t="s">
        <v>1594</v>
      </c>
      <c r="R365" s="107">
        <v>2</v>
      </c>
      <c r="S365" s="101">
        <v>2</v>
      </c>
      <c r="T365" s="2"/>
    </row>
    <row r="366" spans="1:20" customFormat="1" x14ac:dyDescent="0.3">
      <c r="A366" s="2"/>
      <c r="B366" s="142" t="s">
        <v>1431</v>
      </c>
      <c r="C366" s="91">
        <v>2</v>
      </c>
      <c r="D366" s="91">
        <v>2</v>
      </c>
      <c r="E366" s="91">
        <v>0</v>
      </c>
      <c r="F366" s="91">
        <v>2</v>
      </c>
      <c r="G366" s="91">
        <f t="shared" si="12"/>
        <v>0</v>
      </c>
      <c r="H366" s="91">
        <v>1</v>
      </c>
      <c r="I366" s="91">
        <f t="shared" si="13"/>
        <v>1</v>
      </c>
      <c r="J366" s="143">
        <f t="shared" si="14"/>
        <v>0.5</v>
      </c>
      <c r="K366" s="143">
        <f t="shared" si="15"/>
        <v>0.5</v>
      </c>
      <c r="L366" s="2"/>
      <c r="M366" s="113" t="s">
        <v>1584</v>
      </c>
      <c r="N366" s="136">
        <v>0.75</v>
      </c>
      <c r="O366" s="133">
        <v>0.25</v>
      </c>
      <c r="P366" s="2"/>
      <c r="Q366" s="100" t="s">
        <v>1597</v>
      </c>
      <c r="R366" s="107">
        <v>14</v>
      </c>
      <c r="S366" s="101">
        <v>15</v>
      </c>
      <c r="T366" s="2"/>
    </row>
    <row r="367" spans="1:20" customFormat="1" x14ac:dyDescent="0.3">
      <c r="A367" s="2"/>
      <c r="B367" s="142" t="s">
        <v>1477</v>
      </c>
      <c r="C367" s="91">
        <v>2</v>
      </c>
      <c r="D367" s="91">
        <v>2</v>
      </c>
      <c r="E367" s="91">
        <v>1</v>
      </c>
      <c r="F367" s="91">
        <v>1</v>
      </c>
      <c r="G367" s="91">
        <f t="shared" si="12"/>
        <v>0</v>
      </c>
      <c r="H367" s="91">
        <v>1</v>
      </c>
      <c r="I367" s="91">
        <f t="shared" si="13"/>
        <v>1</v>
      </c>
      <c r="J367" s="143">
        <f t="shared" si="14"/>
        <v>0.5</v>
      </c>
      <c r="K367" s="143">
        <f t="shared" si="15"/>
        <v>0.5</v>
      </c>
      <c r="L367" s="2"/>
      <c r="M367" s="113" t="s">
        <v>1274</v>
      </c>
      <c r="N367" s="136">
        <v>0.75</v>
      </c>
      <c r="O367" s="133">
        <v>0.25</v>
      </c>
      <c r="P367" s="2"/>
      <c r="Q367" s="100" t="s">
        <v>1607</v>
      </c>
      <c r="R367" s="107">
        <v>3</v>
      </c>
      <c r="S367" s="101">
        <v>3</v>
      </c>
      <c r="T367" s="2"/>
    </row>
    <row r="368" spans="1:20" customFormat="1" x14ac:dyDescent="0.3">
      <c r="A368" s="2"/>
      <c r="B368" s="142" t="s">
        <v>1479</v>
      </c>
      <c r="C368" s="91">
        <v>2</v>
      </c>
      <c r="D368" s="91">
        <v>2</v>
      </c>
      <c r="E368" s="91">
        <v>1</v>
      </c>
      <c r="F368" s="91">
        <v>1</v>
      </c>
      <c r="G368" s="91">
        <f t="shared" si="12"/>
        <v>0</v>
      </c>
      <c r="H368" s="91">
        <v>1</v>
      </c>
      <c r="I368" s="91">
        <f t="shared" si="13"/>
        <v>1</v>
      </c>
      <c r="J368" s="143">
        <f t="shared" si="14"/>
        <v>0.5</v>
      </c>
      <c r="K368" s="143">
        <f t="shared" si="15"/>
        <v>0.5</v>
      </c>
      <c r="L368" s="2"/>
      <c r="M368" s="113" t="s">
        <v>1312</v>
      </c>
      <c r="N368" s="136">
        <v>0.75</v>
      </c>
      <c r="O368" s="133">
        <v>0.25</v>
      </c>
      <c r="P368" s="2"/>
      <c r="Q368" s="100" t="s">
        <v>1610</v>
      </c>
      <c r="R368" s="107">
        <v>2</v>
      </c>
      <c r="S368" s="101">
        <v>2</v>
      </c>
      <c r="T368" s="2"/>
    </row>
    <row r="369" spans="1:20" customFormat="1" x14ac:dyDescent="0.3">
      <c r="A369" s="2"/>
      <c r="B369" s="142" t="s">
        <v>1481</v>
      </c>
      <c r="C369" s="91">
        <v>2</v>
      </c>
      <c r="D369" s="91">
        <v>2</v>
      </c>
      <c r="E369" s="91">
        <v>0</v>
      </c>
      <c r="F369" s="91">
        <v>2</v>
      </c>
      <c r="G369" s="91">
        <f t="shared" si="12"/>
        <v>0</v>
      </c>
      <c r="H369" s="91">
        <v>1</v>
      </c>
      <c r="I369" s="91">
        <f t="shared" si="13"/>
        <v>1</v>
      </c>
      <c r="J369" s="143">
        <f t="shared" si="14"/>
        <v>0.5</v>
      </c>
      <c r="K369" s="143">
        <f t="shared" si="15"/>
        <v>0.5</v>
      </c>
      <c r="L369" s="2"/>
      <c r="M369" s="113" t="s">
        <v>1681</v>
      </c>
      <c r="N369" s="136">
        <v>0.75</v>
      </c>
      <c r="O369" s="133">
        <v>0.25</v>
      </c>
      <c r="P369" s="2"/>
      <c r="Q369" s="100" t="s">
        <v>1612</v>
      </c>
      <c r="R369" s="107">
        <v>9</v>
      </c>
      <c r="S369" s="101">
        <v>9</v>
      </c>
      <c r="T369" s="2"/>
    </row>
    <row r="370" spans="1:20" customFormat="1" x14ac:dyDescent="0.3">
      <c r="A370" s="2"/>
      <c r="B370" s="142" t="s">
        <v>1499</v>
      </c>
      <c r="C370" s="91">
        <v>2</v>
      </c>
      <c r="D370" s="91">
        <v>2</v>
      </c>
      <c r="E370" s="91">
        <v>0</v>
      </c>
      <c r="F370" s="91">
        <v>2</v>
      </c>
      <c r="G370" s="91">
        <f t="shared" si="12"/>
        <v>0</v>
      </c>
      <c r="H370" s="91">
        <v>1</v>
      </c>
      <c r="I370" s="91">
        <f t="shared" si="13"/>
        <v>1</v>
      </c>
      <c r="J370" s="143">
        <f t="shared" si="14"/>
        <v>0.5</v>
      </c>
      <c r="K370" s="143">
        <f t="shared" si="15"/>
        <v>0.5</v>
      </c>
      <c r="L370" s="2"/>
      <c r="M370" s="113" t="s">
        <v>1574</v>
      </c>
      <c r="N370" s="136">
        <v>0.75</v>
      </c>
      <c r="O370" s="133">
        <v>0.25</v>
      </c>
      <c r="P370" s="2"/>
      <c r="Q370" s="100" t="s">
        <v>1618</v>
      </c>
      <c r="R370" s="107">
        <v>3</v>
      </c>
      <c r="S370" s="101">
        <v>3</v>
      </c>
      <c r="T370" s="2"/>
    </row>
    <row r="371" spans="1:20" customFormat="1" x14ac:dyDescent="0.3">
      <c r="A371" s="2"/>
      <c r="B371" s="142" t="s">
        <v>1594</v>
      </c>
      <c r="C371" s="91">
        <v>2</v>
      </c>
      <c r="D371" s="91">
        <v>2</v>
      </c>
      <c r="E371" s="91">
        <v>0</v>
      </c>
      <c r="F371" s="91">
        <v>2</v>
      </c>
      <c r="G371" s="91">
        <f t="shared" si="12"/>
        <v>0</v>
      </c>
      <c r="H371" s="91">
        <v>1</v>
      </c>
      <c r="I371" s="91">
        <f t="shared" si="13"/>
        <v>1</v>
      </c>
      <c r="J371" s="143">
        <f t="shared" si="14"/>
        <v>0.5</v>
      </c>
      <c r="K371" s="143">
        <f t="shared" si="15"/>
        <v>0.5</v>
      </c>
      <c r="L371" s="2"/>
      <c r="M371" s="113" t="s">
        <v>1197</v>
      </c>
      <c r="N371" s="136">
        <v>0.7857142857142857</v>
      </c>
      <c r="O371" s="133">
        <v>0.21428571428571427</v>
      </c>
      <c r="P371" s="2"/>
      <c r="Q371" s="100" t="s">
        <v>1620</v>
      </c>
      <c r="R371" s="107">
        <v>3</v>
      </c>
      <c r="S371" s="101">
        <v>4</v>
      </c>
      <c r="T371" s="2"/>
    </row>
    <row r="372" spans="1:20" customFormat="1" x14ac:dyDescent="0.3">
      <c r="A372" s="2"/>
      <c r="B372" s="142" t="s">
        <v>1610</v>
      </c>
      <c r="C372" s="91">
        <v>2</v>
      </c>
      <c r="D372" s="91">
        <v>2</v>
      </c>
      <c r="E372" s="91">
        <v>1</v>
      </c>
      <c r="F372" s="91">
        <v>1</v>
      </c>
      <c r="G372" s="91">
        <f t="shared" si="12"/>
        <v>0</v>
      </c>
      <c r="H372" s="91">
        <v>1</v>
      </c>
      <c r="I372" s="91">
        <f t="shared" si="13"/>
        <v>1</v>
      </c>
      <c r="J372" s="143">
        <f t="shared" si="14"/>
        <v>0.5</v>
      </c>
      <c r="K372" s="143">
        <f t="shared" si="15"/>
        <v>0.5</v>
      </c>
      <c r="L372" s="2"/>
      <c r="M372" s="113" t="s">
        <v>1416</v>
      </c>
      <c r="N372" s="136">
        <v>0.8</v>
      </c>
      <c r="O372" s="133">
        <v>0.2</v>
      </c>
      <c r="P372" s="2"/>
      <c r="Q372" s="100" t="s">
        <v>1623</v>
      </c>
      <c r="R372" s="107">
        <v>10</v>
      </c>
      <c r="S372" s="101">
        <v>11</v>
      </c>
      <c r="T372" s="2"/>
    </row>
    <row r="373" spans="1:20" customFormat="1" x14ac:dyDescent="0.3">
      <c r="A373" s="2"/>
      <c r="B373" s="142" t="s">
        <v>1724</v>
      </c>
      <c r="C373" s="91">
        <v>2</v>
      </c>
      <c r="D373" s="91">
        <v>2</v>
      </c>
      <c r="E373" s="91">
        <v>1</v>
      </c>
      <c r="F373" s="91">
        <v>1</v>
      </c>
      <c r="G373" s="91">
        <f t="shared" si="12"/>
        <v>0</v>
      </c>
      <c r="H373" s="91">
        <v>1</v>
      </c>
      <c r="I373" s="91">
        <f t="shared" si="13"/>
        <v>1</v>
      </c>
      <c r="J373" s="143">
        <f t="shared" si="14"/>
        <v>0.5</v>
      </c>
      <c r="K373" s="143">
        <f t="shared" si="15"/>
        <v>0.5</v>
      </c>
      <c r="L373" s="2"/>
      <c r="M373" s="113" t="s">
        <v>1164</v>
      </c>
      <c r="N373" s="136">
        <v>0.8</v>
      </c>
      <c r="O373" s="133">
        <v>0.2</v>
      </c>
      <c r="P373" s="2"/>
      <c r="Q373" s="100" t="s">
        <v>1632</v>
      </c>
      <c r="R373" s="107">
        <v>2</v>
      </c>
      <c r="S373" s="101">
        <v>2</v>
      </c>
      <c r="T373" s="2"/>
    </row>
    <row r="374" spans="1:20" customFormat="1" x14ac:dyDescent="0.3">
      <c r="A374" s="2"/>
      <c r="B374" s="142" t="s">
        <v>1744</v>
      </c>
      <c r="C374" s="91">
        <v>2</v>
      </c>
      <c r="D374" s="91">
        <v>2</v>
      </c>
      <c r="E374" s="91">
        <v>0</v>
      </c>
      <c r="F374" s="91">
        <v>2</v>
      </c>
      <c r="G374" s="91">
        <f t="shared" si="12"/>
        <v>0</v>
      </c>
      <c r="H374" s="91">
        <v>1</v>
      </c>
      <c r="I374" s="91">
        <f t="shared" si="13"/>
        <v>1</v>
      </c>
      <c r="J374" s="143">
        <f t="shared" si="14"/>
        <v>0.5</v>
      </c>
      <c r="K374" s="143">
        <f t="shared" si="15"/>
        <v>0.5</v>
      </c>
      <c r="L374" s="2"/>
      <c r="M374" s="113" t="s">
        <v>1657</v>
      </c>
      <c r="N374" s="136">
        <v>0.8</v>
      </c>
      <c r="O374" s="133">
        <v>0.2</v>
      </c>
      <c r="P374" s="2"/>
      <c r="Q374" s="100" t="s">
        <v>1633</v>
      </c>
      <c r="R374" s="107">
        <v>5</v>
      </c>
      <c r="S374" s="101">
        <v>5</v>
      </c>
      <c r="T374" s="2"/>
    </row>
    <row r="375" spans="1:20" customFormat="1" x14ac:dyDescent="0.3">
      <c r="A375" s="2"/>
      <c r="B375" s="142" t="s">
        <v>1394</v>
      </c>
      <c r="C375" s="91">
        <v>12</v>
      </c>
      <c r="D375" s="91">
        <v>13</v>
      </c>
      <c r="E375" s="91">
        <v>0</v>
      </c>
      <c r="F375" s="91">
        <v>12</v>
      </c>
      <c r="G375" s="91">
        <f t="shared" si="12"/>
        <v>0</v>
      </c>
      <c r="H375" s="91">
        <v>6</v>
      </c>
      <c r="I375" s="91">
        <f t="shared" si="13"/>
        <v>7</v>
      </c>
      <c r="J375" s="143">
        <f t="shared" si="14"/>
        <v>0.46153846153846156</v>
      </c>
      <c r="K375" s="143">
        <f t="shared" si="15"/>
        <v>0.53846153846153844</v>
      </c>
      <c r="L375" s="2"/>
      <c r="M375" s="113" t="s">
        <v>1463</v>
      </c>
      <c r="N375" s="136">
        <v>0.8</v>
      </c>
      <c r="O375" s="133">
        <v>0.2</v>
      </c>
      <c r="P375" s="2"/>
      <c r="Q375" s="100" t="s">
        <v>1638</v>
      </c>
      <c r="R375" s="107">
        <v>4</v>
      </c>
      <c r="S375" s="101">
        <v>4</v>
      </c>
      <c r="T375" s="2"/>
    </row>
    <row r="376" spans="1:20" customFormat="1" x14ac:dyDescent="0.3">
      <c r="A376" s="2"/>
      <c r="B376" s="142" t="s">
        <v>1433</v>
      </c>
      <c r="C376" s="91">
        <v>11</v>
      </c>
      <c r="D376" s="91">
        <v>11</v>
      </c>
      <c r="E376" s="91">
        <v>2</v>
      </c>
      <c r="F376" s="91">
        <v>9</v>
      </c>
      <c r="G376" s="91">
        <f t="shared" si="12"/>
        <v>0</v>
      </c>
      <c r="H376" s="91">
        <v>5</v>
      </c>
      <c r="I376" s="91">
        <f t="shared" si="13"/>
        <v>6</v>
      </c>
      <c r="J376" s="143">
        <f t="shared" si="14"/>
        <v>0.45454545454545453</v>
      </c>
      <c r="K376" s="143">
        <f t="shared" si="15"/>
        <v>0.54545454545454541</v>
      </c>
      <c r="L376" s="2"/>
      <c r="M376" s="113" t="s">
        <v>1488</v>
      </c>
      <c r="N376" s="136">
        <v>0.8</v>
      </c>
      <c r="O376" s="133">
        <v>0.2</v>
      </c>
      <c r="P376" s="2"/>
      <c r="Q376" s="100" t="s">
        <v>1642</v>
      </c>
      <c r="R376" s="107">
        <v>3</v>
      </c>
      <c r="S376" s="101">
        <v>3</v>
      </c>
      <c r="T376" s="2"/>
    </row>
    <row r="377" spans="1:20" customFormat="1" x14ac:dyDescent="0.3">
      <c r="A377" s="2"/>
      <c r="B377" s="142" t="s">
        <v>1448</v>
      </c>
      <c r="C377" s="91">
        <v>7</v>
      </c>
      <c r="D377" s="91">
        <v>7</v>
      </c>
      <c r="E377" s="91">
        <v>0</v>
      </c>
      <c r="F377" s="91">
        <v>7</v>
      </c>
      <c r="G377" s="91">
        <f t="shared" si="12"/>
        <v>0</v>
      </c>
      <c r="H377" s="91">
        <v>3</v>
      </c>
      <c r="I377" s="91">
        <f t="shared" si="13"/>
        <v>4</v>
      </c>
      <c r="J377" s="143">
        <f t="shared" si="14"/>
        <v>0.42857142857142855</v>
      </c>
      <c r="K377" s="143">
        <f t="shared" si="15"/>
        <v>0.5714285714285714</v>
      </c>
      <c r="L377" s="2"/>
      <c r="M377" s="113" t="s">
        <v>1662</v>
      </c>
      <c r="N377" s="136">
        <v>0.82352941176470584</v>
      </c>
      <c r="O377" s="133">
        <v>0.17647058823529413</v>
      </c>
      <c r="P377" s="2"/>
      <c r="Q377" s="100" t="s">
        <v>1646</v>
      </c>
      <c r="R377" s="107">
        <v>4</v>
      </c>
      <c r="S377" s="101">
        <v>4</v>
      </c>
      <c r="T377" s="2"/>
    </row>
    <row r="378" spans="1:20" customFormat="1" x14ac:dyDescent="0.3">
      <c r="A378" s="2"/>
      <c r="B378" s="142" t="s">
        <v>1597</v>
      </c>
      <c r="C378" s="91">
        <v>14</v>
      </c>
      <c r="D378" s="91">
        <v>15</v>
      </c>
      <c r="E378" s="91">
        <v>0</v>
      </c>
      <c r="F378" s="91">
        <v>13</v>
      </c>
      <c r="G378" s="91">
        <f t="shared" si="12"/>
        <v>1</v>
      </c>
      <c r="H378" s="91">
        <v>6</v>
      </c>
      <c r="I378" s="91">
        <f t="shared" si="13"/>
        <v>9</v>
      </c>
      <c r="J378" s="143">
        <f t="shared" si="14"/>
        <v>0.4</v>
      </c>
      <c r="K378" s="143">
        <f t="shared" si="15"/>
        <v>0.6</v>
      </c>
      <c r="L378" s="2"/>
      <c r="M378" s="113" t="s">
        <v>1522</v>
      </c>
      <c r="N378" s="136">
        <v>0.9</v>
      </c>
      <c r="O378" s="133">
        <v>0.1</v>
      </c>
      <c r="P378" s="2"/>
      <c r="Q378" s="100" t="s">
        <v>1650</v>
      </c>
      <c r="R378" s="107">
        <v>7</v>
      </c>
      <c r="S378" s="101">
        <v>7</v>
      </c>
      <c r="T378" s="2"/>
    </row>
    <row r="379" spans="1:20" customFormat="1" x14ac:dyDescent="0.3">
      <c r="A379" s="2"/>
      <c r="B379" s="142" t="s">
        <v>1545</v>
      </c>
      <c r="C379" s="91">
        <v>5</v>
      </c>
      <c r="D379" s="91">
        <v>5</v>
      </c>
      <c r="E379" s="91">
        <v>1</v>
      </c>
      <c r="F379" s="91">
        <v>4</v>
      </c>
      <c r="G379" s="91">
        <f t="shared" ref="G379:G403" si="16">$C379-($E379+$F379)</f>
        <v>0</v>
      </c>
      <c r="H379" s="91">
        <v>2</v>
      </c>
      <c r="I379" s="91">
        <f t="shared" ref="I379:I403" si="17">$D379-$H379</f>
        <v>3</v>
      </c>
      <c r="J379" s="143">
        <f t="shared" ref="J379:J403" si="18">$H379/$D379</f>
        <v>0.4</v>
      </c>
      <c r="K379" s="143">
        <f t="shared" ref="K379:K403" si="19">$I379/$D379</f>
        <v>0.6</v>
      </c>
      <c r="L379" s="2"/>
      <c r="M379" s="113" t="s">
        <v>1460</v>
      </c>
      <c r="N379" s="136">
        <v>1</v>
      </c>
      <c r="O379" s="133">
        <v>0</v>
      </c>
      <c r="P379" s="2"/>
      <c r="Q379" s="100" t="s">
        <v>1655</v>
      </c>
      <c r="R379" s="107">
        <v>2</v>
      </c>
      <c r="S379" s="101">
        <v>2</v>
      </c>
      <c r="T379" s="2"/>
    </row>
    <row r="380" spans="1:20" customFormat="1" x14ac:dyDescent="0.3">
      <c r="A380" s="2"/>
      <c r="B380" s="142" t="s">
        <v>1716</v>
      </c>
      <c r="C380" s="91">
        <v>5</v>
      </c>
      <c r="D380" s="91">
        <v>5</v>
      </c>
      <c r="E380" s="91">
        <v>0</v>
      </c>
      <c r="F380" s="91">
        <v>5</v>
      </c>
      <c r="G380" s="91">
        <f t="shared" si="16"/>
        <v>0</v>
      </c>
      <c r="H380" s="91">
        <v>2</v>
      </c>
      <c r="I380" s="91">
        <f t="shared" si="17"/>
        <v>3</v>
      </c>
      <c r="J380" s="143">
        <f t="shared" si="18"/>
        <v>0.4</v>
      </c>
      <c r="K380" s="143">
        <f t="shared" si="19"/>
        <v>0.6</v>
      </c>
      <c r="L380" s="2"/>
      <c r="M380" s="113" t="s">
        <v>1710</v>
      </c>
      <c r="N380" s="136">
        <v>1</v>
      </c>
      <c r="O380" s="133">
        <v>0</v>
      </c>
      <c r="P380" s="2"/>
      <c r="Q380" s="100" t="s">
        <v>1657</v>
      </c>
      <c r="R380" s="107">
        <v>5</v>
      </c>
      <c r="S380" s="101">
        <v>5</v>
      </c>
      <c r="T380" s="2"/>
    </row>
    <row r="381" spans="1:20" customFormat="1" x14ac:dyDescent="0.3">
      <c r="A381" s="2"/>
      <c r="B381" s="142" t="s">
        <v>1335</v>
      </c>
      <c r="C381" s="91">
        <v>6</v>
      </c>
      <c r="D381" s="91">
        <v>8</v>
      </c>
      <c r="E381" s="91">
        <v>0</v>
      </c>
      <c r="F381" s="91">
        <v>6</v>
      </c>
      <c r="G381" s="91">
        <f t="shared" si="16"/>
        <v>0</v>
      </c>
      <c r="H381" s="91">
        <v>3</v>
      </c>
      <c r="I381" s="91">
        <f t="shared" si="17"/>
        <v>5</v>
      </c>
      <c r="J381" s="143">
        <f t="shared" si="18"/>
        <v>0.375</v>
      </c>
      <c r="K381" s="143">
        <f t="shared" si="19"/>
        <v>0.625</v>
      </c>
      <c r="L381" s="2"/>
      <c r="M381" s="113" t="s">
        <v>1646</v>
      </c>
      <c r="N381" s="136">
        <v>1</v>
      </c>
      <c r="O381" s="133">
        <v>0</v>
      </c>
      <c r="P381" s="2"/>
      <c r="Q381" s="100" t="s">
        <v>1662</v>
      </c>
      <c r="R381" s="107">
        <v>17</v>
      </c>
      <c r="S381" s="101">
        <v>17</v>
      </c>
      <c r="T381" s="2"/>
    </row>
    <row r="382" spans="1:20" customFormat="1" x14ac:dyDescent="0.3">
      <c r="A382" s="2"/>
      <c r="B382" s="142" t="s">
        <v>1557</v>
      </c>
      <c r="C382" s="91">
        <v>12</v>
      </c>
      <c r="D382" s="91">
        <v>12</v>
      </c>
      <c r="E382" s="91">
        <v>11</v>
      </c>
      <c r="F382" s="91">
        <v>1</v>
      </c>
      <c r="G382" s="91">
        <f t="shared" si="16"/>
        <v>0</v>
      </c>
      <c r="H382" s="91">
        <v>4</v>
      </c>
      <c r="I382" s="91">
        <f t="shared" si="17"/>
        <v>8</v>
      </c>
      <c r="J382" s="143">
        <f t="shared" si="18"/>
        <v>0.33333333333333331</v>
      </c>
      <c r="K382" s="143">
        <f t="shared" si="19"/>
        <v>0.66666666666666663</v>
      </c>
      <c r="L382" s="2"/>
      <c r="M382" s="113" t="s">
        <v>1655</v>
      </c>
      <c r="N382" s="136">
        <v>1</v>
      </c>
      <c r="O382" s="133">
        <v>0</v>
      </c>
      <c r="P382" s="2"/>
      <c r="Q382" s="100" t="s">
        <v>1672</v>
      </c>
      <c r="R382" s="107">
        <v>12</v>
      </c>
      <c r="S382" s="101">
        <v>12</v>
      </c>
      <c r="T382" s="2"/>
    </row>
    <row r="383" spans="1:20" customFormat="1" x14ac:dyDescent="0.3">
      <c r="A383" s="2"/>
      <c r="B383" s="142" t="s">
        <v>1672</v>
      </c>
      <c r="C383" s="91">
        <v>12</v>
      </c>
      <c r="D383" s="91">
        <v>12</v>
      </c>
      <c r="E383" s="91">
        <v>5</v>
      </c>
      <c r="F383" s="91">
        <v>7</v>
      </c>
      <c r="G383" s="91">
        <f t="shared" si="16"/>
        <v>0</v>
      </c>
      <c r="H383" s="91">
        <v>4</v>
      </c>
      <c r="I383" s="91">
        <f t="shared" si="17"/>
        <v>8</v>
      </c>
      <c r="J383" s="143">
        <f t="shared" si="18"/>
        <v>0.33333333333333331</v>
      </c>
      <c r="K383" s="143">
        <f t="shared" si="19"/>
        <v>0.66666666666666663</v>
      </c>
      <c r="L383" s="2"/>
      <c r="M383" s="113" t="s">
        <v>1457</v>
      </c>
      <c r="N383" s="136">
        <v>1</v>
      </c>
      <c r="O383" s="133">
        <v>0</v>
      </c>
      <c r="P383" s="2"/>
      <c r="Q383" s="100" t="s">
        <v>1681</v>
      </c>
      <c r="R383" s="107">
        <v>4</v>
      </c>
      <c r="S383" s="101">
        <v>4</v>
      </c>
      <c r="T383" s="2"/>
    </row>
    <row r="384" spans="1:20" customFormat="1" x14ac:dyDescent="0.3">
      <c r="A384" s="2"/>
      <c r="B384" s="142" t="s">
        <v>1410</v>
      </c>
      <c r="C384" s="91">
        <v>6</v>
      </c>
      <c r="D384" s="91">
        <v>6</v>
      </c>
      <c r="E384" s="91">
        <v>0</v>
      </c>
      <c r="F384" s="91">
        <v>3</v>
      </c>
      <c r="G384" s="91">
        <f t="shared" si="16"/>
        <v>3</v>
      </c>
      <c r="H384" s="91">
        <v>2</v>
      </c>
      <c r="I384" s="91">
        <f t="shared" si="17"/>
        <v>4</v>
      </c>
      <c r="J384" s="143">
        <f t="shared" si="18"/>
        <v>0.33333333333333331</v>
      </c>
      <c r="K384" s="143">
        <f t="shared" si="19"/>
        <v>0.66666666666666663</v>
      </c>
      <c r="L384" s="2"/>
      <c r="M384" s="114" t="s">
        <v>1301</v>
      </c>
      <c r="N384" s="136">
        <v>1</v>
      </c>
      <c r="O384" s="133">
        <v>0</v>
      </c>
      <c r="P384" s="2"/>
      <c r="Q384" s="100" t="s">
        <v>1683</v>
      </c>
      <c r="R384" s="107">
        <v>7</v>
      </c>
      <c r="S384" s="101">
        <v>7</v>
      </c>
      <c r="T384" s="2"/>
    </row>
    <row r="385" spans="1:20" customFormat="1" x14ac:dyDescent="0.3">
      <c r="A385" s="2"/>
      <c r="B385" s="142" t="s">
        <v>1222</v>
      </c>
      <c r="C385" s="91">
        <v>5</v>
      </c>
      <c r="D385" s="91">
        <v>6</v>
      </c>
      <c r="E385" s="91">
        <v>1</v>
      </c>
      <c r="F385" s="91">
        <v>4</v>
      </c>
      <c r="G385" s="91">
        <f t="shared" si="16"/>
        <v>0</v>
      </c>
      <c r="H385" s="91">
        <v>2</v>
      </c>
      <c r="I385" s="91">
        <f t="shared" si="17"/>
        <v>4</v>
      </c>
      <c r="J385" s="143">
        <f t="shared" si="18"/>
        <v>0.33333333333333331</v>
      </c>
      <c r="K385" s="143">
        <f t="shared" si="19"/>
        <v>0.66666666666666663</v>
      </c>
      <c r="L385" s="2"/>
      <c r="M385" s="112" t="s">
        <v>1332</v>
      </c>
      <c r="N385" s="136">
        <v>1</v>
      </c>
      <c r="O385" s="133">
        <v>0</v>
      </c>
      <c r="P385" s="2"/>
      <c r="Q385" s="100" t="s">
        <v>1686</v>
      </c>
      <c r="R385" s="107">
        <v>5</v>
      </c>
      <c r="S385" s="101">
        <v>5</v>
      </c>
      <c r="T385" s="2"/>
    </row>
    <row r="386" spans="1:20" customFormat="1" x14ac:dyDescent="0.3">
      <c r="A386" s="2"/>
      <c r="B386" s="142" t="s">
        <v>1341</v>
      </c>
      <c r="C386" s="91">
        <v>3</v>
      </c>
      <c r="D386" s="91">
        <v>3</v>
      </c>
      <c r="E386" s="91">
        <v>1</v>
      </c>
      <c r="F386" s="91">
        <v>2</v>
      </c>
      <c r="G386" s="91">
        <f t="shared" si="16"/>
        <v>0</v>
      </c>
      <c r="H386" s="91">
        <v>1</v>
      </c>
      <c r="I386" s="91">
        <f t="shared" si="17"/>
        <v>2</v>
      </c>
      <c r="J386" s="143">
        <f t="shared" si="18"/>
        <v>0.33333333333333331</v>
      </c>
      <c r="K386" s="143">
        <f t="shared" si="19"/>
        <v>0.66666666666666663</v>
      </c>
      <c r="L386" s="2"/>
      <c r="M386" s="113" t="s">
        <v>1723</v>
      </c>
      <c r="N386" s="136">
        <v>1</v>
      </c>
      <c r="O386" s="133">
        <v>0</v>
      </c>
      <c r="P386" s="2"/>
      <c r="Q386" s="100" t="s">
        <v>1690</v>
      </c>
      <c r="R386" s="107">
        <v>4</v>
      </c>
      <c r="S386" s="101">
        <v>4</v>
      </c>
      <c r="T386" s="2"/>
    </row>
    <row r="387" spans="1:20" customFormat="1" x14ac:dyDescent="0.3">
      <c r="A387" s="2"/>
      <c r="B387" s="142" t="s">
        <v>1390</v>
      </c>
      <c r="C387" s="91">
        <v>3</v>
      </c>
      <c r="D387" s="91">
        <v>3</v>
      </c>
      <c r="E387" s="91">
        <v>3</v>
      </c>
      <c r="F387" s="91">
        <v>0</v>
      </c>
      <c r="G387" s="91">
        <f t="shared" si="16"/>
        <v>0</v>
      </c>
      <c r="H387" s="91">
        <v>1</v>
      </c>
      <c r="I387" s="91">
        <f t="shared" si="17"/>
        <v>2</v>
      </c>
      <c r="J387" s="143">
        <f t="shared" si="18"/>
        <v>0.33333333333333331</v>
      </c>
      <c r="K387" s="143">
        <f t="shared" si="19"/>
        <v>0.66666666666666663</v>
      </c>
      <c r="L387" s="2"/>
      <c r="M387" s="113" t="s">
        <v>1632</v>
      </c>
      <c r="N387" s="136">
        <v>1</v>
      </c>
      <c r="O387" s="133">
        <v>0</v>
      </c>
      <c r="P387" s="2"/>
      <c r="Q387" s="100" t="s">
        <v>1693</v>
      </c>
      <c r="R387" s="107">
        <v>11</v>
      </c>
      <c r="S387" s="101">
        <v>11</v>
      </c>
      <c r="T387" s="2"/>
    </row>
    <row r="388" spans="1:20" customFormat="1" x14ac:dyDescent="0.3">
      <c r="A388" s="2"/>
      <c r="B388" s="142" t="s">
        <v>1607</v>
      </c>
      <c r="C388" s="91">
        <v>3</v>
      </c>
      <c r="D388" s="91">
        <v>3</v>
      </c>
      <c r="E388" s="91">
        <v>0</v>
      </c>
      <c r="F388" s="91">
        <v>3</v>
      </c>
      <c r="G388" s="91">
        <f t="shared" si="16"/>
        <v>0</v>
      </c>
      <c r="H388" s="91">
        <v>1</v>
      </c>
      <c r="I388" s="91">
        <f t="shared" si="17"/>
        <v>2</v>
      </c>
      <c r="J388" s="143">
        <f t="shared" si="18"/>
        <v>0.33333333333333331</v>
      </c>
      <c r="K388" s="143">
        <f t="shared" si="19"/>
        <v>0.66666666666666663</v>
      </c>
      <c r="L388" s="2"/>
      <c r="M388" s="113" t="s">
        <v>1472</v>
      </c>
      <c r="N388" s="136">
        <v>1</v>
      </c>
      <c r="O388" s="133">
        <v>0</v>
      </c>
      <c r="P388" s="2"/>
      <c r="Q388" s="100" t="s">
        <v>1696</v>
      </c>
      <c r="R388" s="107">
        <v>9</v>
      </c>
      <c r="S388" s="101">
        <v>9</v>
      </c>
      <c r="T388" s="2"/>
    </row>
    <row r="389" spans="1:20" customFormat="1" x14ac:dyDescent="0.3">
      <c r="A389" s="2"/>
      <c r="B389" s="142" t="s">
        <v>1642</v>
      </c>
      <c r="C389" s="91">
        <v>3</v>
      </c>
      <c r="D389" s="91">
        <v>3</v>
      </c>
      <c r="E389" s="91">
        <v>2</v>
      </c>
      <c r="F389" s="91">
        <v>1</v>
      </c>
      <c r="G389" s="91">
        <f t="shared" si="16"/>
        <v>0</v>
      </c>
      <c r="H389" s="91">
        <v>1</v>
      </c>
      <c r="I389" s="91">
        <f t="shared" si="17"/>
        <v>2</v>
      </c>
      <c r="J389" s="143">
        <f t="shared" si="18"/>
        <v>0.33333333333333331</v>
      </c>
      <c r="K389" s="143">
        <f t="shared" si="19"/>
        <v>0.66666666666666663</v>
      </c>
      <c r="L389" s="2"/>
      <c r="M389" s="113" t="s">
        <v>1324</v>
      </c>
      <c r="N389" s="136">
        <v>1</v>
      </c>
      <c r="O389" s="133">
        <v>0</v>
      </c>
      <c r="P389" s="2"/>
      <c r="Q389" s="100" t="s">
        <v>1701</v>
      </c>
      <c r="R389" s="107">
        <v>5</v>
      </c>
      <c r="S389" s="101">
        <v>5</v>
      </c>
      <c r="T389" s="2"/>
    </row>
    <row r="390" spans="1:20" customFormat="1" x14ac:dyDescent="0.3">
      <c r="A390" s="2"/>
      <c r="B390" s="142" t="s">
        <v>1454</v>
      </c>
      <c r="C390" s="91">
        <v>2</v>
      </c>
      <c r="D390" s="91">
        <v>3</v>
      </c>
      <c r="E390" s="91">
        <v>1</v>
      </c>
      <c r="F390" s="91">
        <v>1</v>
      </c>
      <c r="G390" s="91">
        <f t="shared" si="16"/>
        <v>0</v>
      </c>
      <c r="H390" s="91">
        <v>1</v>
      </c>
      <c r="I390" s="91">
        <f t="shared" si="17"/>
        <v>2</v>
      </c>
      <c r="J390" s="143">
        <f t="shared" si="18"/>
        <v>0.33333333333333331</v>
      </c>
      <c r="K390" s="143">
        <f t="shared" si="19"/>
        <v>0.66666666666666663</v>
      </c>
      <c r="L390" s="2"/>
      <c r="M390" s="113" t="s">
        <v>1554</v>
      </c>
      <c r="N390" s="136">
        <v>1</v>
      </c>
      <c r="O390" s="133">
        <v>0</v>
      </c>
      <c r="P390" s="2"/>
      <c r="Q390" s="100" t="s">
        <v>1705</v>
      </c>
      <c r="R390" s="107">
        <v>4</v>
      </c>
      <c r="S390" s="101">
        <v>4</v>
      </c>
      <c r="T390" s="2"/>
    </row>
    <row r="391" spans="1:20" customFormat="1" x14ac:dyDescent="0.3">
      <c r="A391" s="2"/>
      <c r="B391" s="142" t="s">
        <v>1740</v>
      </c>
      <c r="C391" s="91">
        <v>2</v>
      </c>
      <c r="D391" s="91">
        <v>3</v>
      </c>
      <c r="E391" s="91">
        <v>1</v>
      </c>
      <c r="F391" s="91">
        <v>1</v>
      </c>
      <c r="G391" s="91">
        <f t="shared" si="16"/>
        <v>0</v>
      </c>
      <c r="H391" s="91">
        <v>1</v>
      </c>
      <c r="I391" s="91">
        <f t="shared" si="17"/>
        <v>2</v>
      </c>
      <c r="J391" s="143">
        <f t="shared" si="18"/>
        <v>0.33333333333333331</v>
      </c>
      <c r="K391" s="143">
        <f t="shared" si="19"/>
        <v>0.66666666666666663</v>
      </c>
      <c r="L391" s="2"/>
      <c r="M391" s="113" t="s">
        <v>1367</v>
      </c>
      <c r="N391" s="136">
        <v>1</v>
      </c>
      <c r="O391" s="133">
        <v>0</v>
      </c>
      <c r="P391" s="2"/>
      <c r="Q391" s="100" t="s">
        <v>1710</v>
      </c>
      <c r="R391" s="107">
        <v>2</v>
      </c>
      <c r="S391" s="101">
        <v>2</v>
      </c>
      <c r="T391" s="2"/>
    </row>
    <row r="392" spans="1:20" customFormat="1" x14ac:dyDescent="0.3">
      <c r="A392" s="2"/>
      <c r="B392" s="142" t="s">
        <v>1734</v>
      </c>
      <c r="C392" s="91">
        <v>6</v>
      </c>
      <c r="D392" s="91">
        <v>7</v>
      </c>
      <c r="E392" s="91">
        <v>1</v>
      </c>
      <c r="F392" s="91">
        <v>5</v>
      </c>
      <c r="G392" s="91">
        <f t="shared" si="16"/>
        <v>0</v>
      </c>
      <c r="H392" s="91">
        <v>2</v>
      </c>
      <c r="I392" s="91">
        <f t="shared" si="17"/>
        <v>5</v>
      </c>
      <c r="J392" s="143">
        <f t="shared" si="18"/>
        <v>0.2857142857142857</v>
      </c>
      <c r="K392" s="143">
        <f t="shared" si="19"/>
        <v>0.7142857142857143</v>
      </c>
      <c r="L392" s="2"/>
      <c r="M392" s="113" t="s">
        <v>1443</v>
      </c>
      <c r="N392" s="136">
        <v>1</v>
      </c>
      <c r="O392" s="133">
        <v>0</v>
      </c>
      <c r="P392" s="2"/>
      <c r="Q392" s="100" t="s">
        <v>1711</v>
      </c>
      <c r="R392" s="107">
        <v>6</v>
      </c>
      <c r="S392" s="101">
        <v>7</v>
      </c>
      <c r="T392" s="2"/>
    </row>
    <row r="393" spans="1:20" customFormat="1" x14ac:dyDescent="0.3">
      <c r="A393" s="2"/>
      <c r="B393" s="142" t="s">
        <v>1623</v>
      </c>
      <c r="C393" s="91">
        <v>10</v>
      </c>
      <c r="D393" s="91">
        <v>11</v>
      </c>
      <c r="E393" s="91">
        <v>2</v>
      </c>
      <c r="F393" s="91">
        <v>7</v>
      </c>
      <c r="G393" s="91">
        <f t="shared" si="16"/>
        <v>1</v>
      </c>
      <c r="H393" s="91">
        <v>3</v>
      </c>
      <c r="I393" s="91">
        <f t="shared" si="17"/>
        <v>8</v>
      </c>
      <c r="J393" s="143">
        <f t="shared" si="18"/>
        <v>0.27272727272727271</v>
      </c>
      <c r="K393" s="143">
        <f t="shared" si="19"/>
        <v>0.72727272727272729</v>
      </c>
      <c r="L393" s="2"/>
      <c r="M393" s="113" t="s">
        <v>1717</v>
      </c>
      <c r="N393" s="136">
        <v>1</v>
      </c>
      <c r="O393" s="133">
        <v>0</v>
      </c>
      <c r="P393" s="2"/>
      <c r="Q393" s="100" t="s">
        <v>1716</v>
      </c>
      <c r="R393" s="107">
        <v>5</v>
      </c>
      <c r="S393" s="101">
        <v>5</v>
      </c>
      <c r="T393" s="2"/>
    </row>
    <row r="394" spans="1:20" customFormat="1" x14ac:dyDescent="0.3">
      <c r="A394" s="2"/>
      <c r="B394" s="142" t="s">
        <v>1726</v>
      </c>
      <c r="C394" s="91">
        <v>10</v>
      </c>
      <c r="D394" s="91">
        <v>11</v>
      </c>
      <c r="E394" s="91">
        <v>2</v>
      </c>
      <c r="F394" s="91">
        <v>8</v>
      </c>
      <c r="G394" s="91">
        <f t="shared" si="16"/>
        <v>0</v>
      </c>
      <c r="H394" s="91">
        <v>3</v>
      </c>
      <c r="I394" s="91">
        <f t="shared" si="17"/>
        <v>8</v>
      </c>
      <c r="J394" s="143">
        <f t="shared" si="18"/>
        <v>0.27272727272727271</v>
      </c>
      <c r="K394" s="143">
        <f t="shared" si="19"/>
        <v>0.72727272727272729</v>
      </c>
      <c r="L394" s="2"/>
      <c r="M394" s="113" t="s">
        <v>1482</v>
      </c>
      <c r="N394" s="136">
        <v>1</v>
      </c>
      <c r="O394" s="133">
        <v>0</v>
      </c>
      <c r="P394" s="2"/>
      <c r="Q394" s="100" t="s">
        <v>1717</v>
      </c>
      <c r="R394" s="107">
        <v>3</v>
      </c>
      <c r="S394" s="101">
        <v>3</v>
      </c>
      <c r="T394" s="2"/>
    </row>
    <row r="395" spans="1:20" customFormat="1" x14ac:dyDescent="0.3">
      <c r="A395" s="2"/>
      <c r="B395" s="142" t="s">
        <v>1538</v>
      </c>
      <c r="C395" s="91">
        <v>4</v>
      </c>
      <c r="D395" s="91">
        <v>4</v>
      </c>
      <c r="E395" s="91">
        <v>0</v>
      </c>
      <c r="F395" s="91">
        <v>4</v>
      </c>
      <c r="G395" s="91">
        <f t="shared" si="16"/>
        <v>0</v>
      </c>
      <c r="H395" s="91">
        <v>1</v>
      </c>
      <c r="I395" s="91">
        <f t="shared" si="17"/>
        <v>3</v>
      </c>
      <c r="J395" s="143">
        <f t="shared" si="18"/>
        <v>0.25</v>
      </c>
      <c r="K395" s="143">
        <f t="shared" si="19"/>
        <v>0.75</v>
      </c>
      <c r="L395" s="2"/>
      <c r="M395" s="113" t="s">
        <v>1370</v>
      </c>
      <c r="N395" s="136">
        <v>1</v>
      </c>
      <c r="O395" s="133">
        <v>0</v>
      </c>
      <c r="P395" s="2"/>
      <c r="Q395" s="100" t="s">
        <v>1718</v>
      </c>
      <c r="R395" s="107">
        <v>6</v>
      </c>
      <c r="S395" s="101">
        <v>6</v>
      </c>
      <c r="T395" s="2"/>
    </row>
    <row r="396" spans="1:20" customFormat="1" x14ac:dyDescent="0.3">
      <c r="A396" s="2"/>
      <c r="B396" s="142" t="s">
        <v>1746</v>
      </c>
      <c r="C396" s="91">
        <v>4</v>
      </c>
      <c r="D396" s="91">
        <v>4</v>
      </c>
      <c r="E396" s="91">
        <v>1</v>
      </c>
      <c r="F396" s="91">
        <v>3</v>
      </c>
      <c r="G396" s="91">
        <f t="shared" si="16"/>
        <v>0</v>
      </c>
      <c r="H396" s="91">
        <v>1</v>
      </c>
      <c r="I396" s="91">
        <f t="shared" si="17"/>
        <v>3</v>
      </c>
      <c r="J396" s="143">
        <f t="shared" si="18"/>
        <v>0.25</v>
      </c>
      <c r="K396" s="143">
        <f t="shared" si="19"/>
        <v>0.75</v>
      </c>
      <c r="L396" s="2"/>
      <c r="M396" s="113" t="s">
        <v>1485</v>
      </c>
      <c r="N396" s="136">
        <v>1</v>
      </c>
      <c r="O396" s="133">
        <v>0</v>
      </c>
      <c r="P396" s="2"/>
      <c r="Q396" s="100" t="s">
        <v>1721</v>
      </c>
      <c r="R396" s="107">
        <v>2</v>
      </c>
      <c r="S396" s="101">
        <v>2</v>
      </c>
      <c r="T396" s="2"/>
    </row>
    <row r="397" spans="1:20" customFormat="1" x14ac:dyDescent="0.3">
      <c r="A397" s="2"/>
      <c r="B397" s="142" t="s">
        <v>1376</v>
      </c>
      <c r="C397" s="91">
        <v>5</v>
      </c>
      <c r="D397" s="91">
        <v>5</v>
      </c>
      <c r="E397" s="91">
        <v>1</v>
      </c>
      <c r="F397" s="91">
        <v>4</v>
      </c>
      <c r="G397" s="91">
        <f t="shared" si="16"/>
        <v>0</v>
      </c>
      <c r="H397" s="91">
        <v>1</v>
      </c>
      <c r="I397" s="91">
        <f t="shared" si="17"/>
        <v>4</v>
      </c>
      <c r="J397" s="143">
        <f t="shared" si="18"/>
        <v>0.2</v>
      </c>
      <c r="K397" s="143">
        <f t="shared" si="19"/>
        <v>0.8</v>
      </c>
      <c r="L397" s="2"/>
      <c r="M397" s="113" t="s">
        <v>1618</v>
      </c>
      <c r="N397" s="136">
        <v>1</v>
      </c>
      <c r="O397" s="133">
        <v>0</v>
      </c>
      <c r="P397" s="2"/>
      <c r="Q397" s="100" t="s">
        <v>1723</v>
      </c>
      <c r="R397" s="107">
        <v>2</v>
      </c>
      <c r="S397" s="101">
        <v>2</v>
      </c>
      <c r="T397" s="2"/>
    </row>
    <row r="398" spans="1:20" customFormat="1" x14ac:dyDescent="0.3">
      <c r="A398" s="2"/>
      <c r="B398" s="142" t="s">
        <v>1701</v>
      </c>
      <c r="C398" s="91">
        <v>5</v>
      </c>
      <c r="D398" s="91">
        <v>5</v>
      </c>
      <c r="E398" s="91">
        <v>0</v>
      </c>
      <c r="F398" s="91">
        <v>5</v>
      </c>
      <c r="G398" s="91">
        <f t="shared" si="16"/>
        <v>0</v>
      </c>
      <c r="H398" s="91">
        <v>1</v>
      </c>
      <c r="I398" s="91">
        <f t="shared" si="17"/>
        <v>4</v>
      </c>
      <c r="J398" s="143">
        <f t="shared" si="18"/>
        <v>0.2</v>
      </c>
      <c r="K398" s="143">
        <f t="shared" si="19"/>
        <v>0.8</v>
      </c>
      <c r="L398" s="2"/>
      <c r="M398" s="113" t="s">
        <v>1445</v>
      </c>
      <c r="N398" s="136">
        <v>1</v>
      </c>
      <c r="O398" s="133">
        <v>0</v>
      </c>
      <c r="P398" s="2"/>
      <c r="Q398" s="100" t="s">
        <v>1724</v>
      </c>
      <c r="R398" s="107">
        <v>2</v>
      </c>
      <c r="S398" s="101">
        <v>2</v>
      </c>
      <c r="T398" s="2"/>
    </row>
    <row r="399" spans="1:20" customFormat="1" x14ac:dyDescent="0.3">
      <c r="A399" s="2"/>
      <c r="B399" s="142" t="s">
        <v>1638</v>
      </c>
      <c r="C399" s="91">
        <v>4</v>
      </c>
      <c r="D399" s="91">
        <v>4</v>
      </c>
      <c r="E399" s="91">
        <v>0</v>
      </c>
      <c r="F399" s="91">
        <v>3</v>
      </c>
      <c r="G399" s="91">
        <f t="shared" si="16"/>
        <v>1</v>
      </c>
      <c r="H399" s="91">
        <v>0</v>
      </c>
      <c r="I399" s="91">
        <f t="shared" si="17"/>
        <v>4</v>
      </c>
      <c r="J399" s="143">
        <f t="shared" si="18"/>
        <v>0</v>
      </c>
      <c r="K399" s="143">
        <f t="shared" si="19"/>
        <v>1</v>
      </c>
      <c r="L399" s="2"/>
      <c r="M399" s="113" t="s">
        <v>1469</v>
      </c>
      <c r="N399" s="136">
        <v>1</v>
      </c>
      <c r="O399" s="133">
        <v>0</v>
      </c>
      <c r="P399" s="2"/>
      <c r="Q399" s="100" t="s">
        <v>1726</v>
      </c>
      <c r="R399" s="107">
        <v>10</v>
      </c>
      <c r="S399" s="101">
        <v>11</v>
      </c>
      <c r="T399" s="2"/>
    </row>
    <row r="400" spans="1:20" customFormat="1" x14ac:dyDescent="0.3">
      <c r="A400" s="2"/>
      <c r="B400" s="142" t="s">
        <v>1252</v>
      </c>
      <c r="C400" s="91">
        <v>2</v>
      </c>
      <c r="D400" s="91">
        <v>2</v>
      </c>
      <c r="E400" s="91">
        <v>0</v>
      </c>
      <c r="F400" s="91">
        <v>1</v>
      </c>
      <c r="G400" s="91">
        <f t="shared" si="16"/>
        <v>1</v>
      </c>
      <c r="H400" s="91">
        <v>0</v>
      </c>
      <c r="I400" s="91">
        <f t="shared" si="17"/>
        <v>2</v>
      </c>
      <c r="J400" s="143">
        <f t="shared" si="18"/>
        <v>0</v>
      </c>
      <c r="K400" s="143">
        <f t="shared" si="19"/>
        <v>1</v>
      </c>
      <c r="L400" s="2"/>
      <c r="M400" s="113" t="s">
        <v>1581</v>
      </c>
      <c r="N400" s="136">
        <v>1</v>
      </c>
      <c r="O400" s="133">
        <v>0</v>
      </c>
      <c r="P400" s="2"/>
      <c r="Q400" s="100" t="s">
        <v>1734</v>
      </c>
      <c r="R400" s="107">
        <v>6</v>
      </c>
      <c r="S400" s="101">
        <v>7</v>
      </c>
      <c r="T400" s="2"/>
    </row>
    <row r="401" spans="1:20" customFormat="1" x14ac:dyDescent="0.3">
      <c r="A401" s="2"/>
      <c r="B401" s="142" t="s">
        <v>1282</v>
      </c>
      <c r="C401" s="91">
        <v>2</v>
      </c>
      <c r="D401" s="91">
        <v>2</v>
      </c>
      <c r="E401" s="91">
        <v>0</v>
      </c>
      <c r="F401" s="91">
        <v>2</v>
      </c>
      <c r="G401" s="91">
        <f t="shared" si="16"/>
        <v>0</v>
      </c>
      <c r="H401" s="91">
        <v>0</v>
      </c>
      <c r="I401" s="91">
        <f t="shared" si="17"/>
        <v>2</v>
      </c>
      <c r="J401" s="143">
        <f t="shared" si="18"/>
        <v>0</v>
      </c>
      <c r="K401" s="143">
        <f t="shared" si="19"/>
        <v>1</v>
      </c>
      <c r="L401" s="2"/>
      <c r="M401" s="113" t="s">
        <v>1537</v>
      </c>
      <c r="N401" s="136">
        <v>1</v>
      </c>
      <c r="O401" s="133">
        <v>0</v>
      </c>
      <c r="P401" s="2"/>
      <c r="Q401" s="100" t="s">
        <v>1740</v>
      </c>
      <c r="R401" s="107">
        <v>2</v>
      </c>
      <c r="S401" s="101">
        <v>3</v>
      </c>
      <c r="T401" s="2"/>
    </row>
    <row r="402" spans="1:20" customFormat="1" x14ac:dyDescent="0.3">
      <c r="A402" s="2"/>
      <c r="B402" s="142" t="s">
        <v>1578</v>
      </c>
      <c r="C402" s="91">
        <v>2</v>
      </c>
      <c r="D402" s="91">
        <v>2</v>
      </c>
      <c r="E402" s="91">
        <v>1</v>
      </c>
      <c r="F402" s="91">
        <v>1</v>
      </c>
      <c r="G402" s="91">
        <f t="shared" si="16"/>
        <v>0</v>
      </c>
      <c r="H402" s="91">
        <v>0</v>
      </c>
      <c r="I402" s="91">
        <f t="shared" si="17"/>
        <v>2</v>
      </c>
      <c r="J402" s="143">
        <f t="shared" si="18"/>
        <v>0</v>
      </c>
      <c r="K402" s="143">
        <f t="shared" si="19"/>
        <v>1</v>
      </c>
      <c r="L402" s="2"/>
      <c r="M402" s="113" t="s">
        <v>1156</v>
      </c>
      <c r="N402" s="136">
        <v>1</v>
      </c>
      <c r="O402" s="133">
        <v>0</v>
      </c>
      <c r="P402" s="2"/>
      <c r="Q402" s="100" t="s">
        <v>1742</v>
      </c>
      <c r="R402" s="107">
        <v>8</v>
      </c>
      <c r="S402" s="101">
        <v>8</v>
      </c>
      <c r="T402" s="2"/>
    </row>
    <row r="403" spans="1:20" customFormat="1" x14ac:dyDescent="0.3">
      <c r="A403" s="2"/>
      <c r="B403" s="142" t="s">
        <v>1721</v>
      </c>
      <c r="C403" s="91">
        <v>2</v>
      </c>
      <c r="D403" s="91">
        <v>2</v>
      </c>
      <c r="E403" s="91">
        <v>0</v>
      </c>
      <c r="F403" s="91">
        <v>2</v>
      </c>
      <c r="G403" s="91">
        <f t="shared" si="16"/>
        <v>0</v>
      </c>
      <c r="H403" s="91">
        <v>0</v>
      </c>
      <c r="I403" s="91">
        <f t="shared" si="17"/>
        <v>2</v>
      </c>
      <c r="J403" s="143">
        <f t="shared" si="18"/>
        <v>0</v>
      </c>
      <c r="K403" s="143">
        <f t="shared" si="19"/>
        <v>1</v>
      </c>
      <c r="L403" s="2"/>
      <c r="M403" s="113" t="s">
        <v>1328</v>
      </c>
      <c r="N403" s="136">
        <v>1</v>
      </c>
      <c r="O403" s="133">
        <v>0</v>
      </c>
      <c r="P403" s="2"/>
      <c r="Q403" s="100" t="s">
        <v>1744</v>
      </c>
      <c r="R403" s="107">
        <v>2</v>
      </c>
      <c r="S403" s="101">
        <v>2</v>
      </c>
      <c r="T403" s="2"/>
    </row>
    <row r="404" spans="1:20" customFormat="1" x14ac:dyDescent="0.3">
      <c r="A404" s="2"/>
      <c r="B404" s="2"/>
      <c r="C404" s="2"/>
      <c r="D404" s="2"/>
      <c r="E404" s="2"/>
      <c r="F404" s="2"/>
      <c r="G404" s="2"/>
      <c r="H404" s="2"/>
      <c r="I404" s="2"/>
      <c r="J404" s="2"/>
      <c r="K404" s="2"/>
      <c r="L404" s="2"/>
      <c r="M404" s="113" t="s">
        <v>1591</v>
      </c>
      <c r="N404" s="136">
        <v>1</v>
      </c>
      <c r="O404" s="133">
        <v>0</v>
      </c>
      <c r="P404" s="2"/>
      <c r="Q404" s="100" t="s">
        <v>1746</v>
      </c>
      <c r="R404" s="107">
        <v>4</v>
      </c>
      <c r="S404" s="101">
        <v>4</v>
      </c>
      <c r="T404" s="2"/>
    </row>
    <row r="405" spans="1:20" customFormat="1" x14ac:dyDescent="0.3">
      <c r="A405" s="2"/>
      <c r="B405" s="2"/>
      <c r="C405" s="2"/>
      <c r="D405" s="2"/>
      <c r="E405" s="2"/>
      <c r="F405" s="2"/>
      <c r="G405" s="2"/>
      <c r="H405" s="2"/>
      <c r="I405" s="2"/>
      <c r="J405" s="2"/>
      <c r="K405" s="2"/>
      <c r="L405" s="2"/>
      <c r="M405" s="114" t="s">
        <v>1493</v>
      </c>
      <c r="N405" s="136">
        <v>1</v>
      </c>
      <c r="O405" s="133">
        <v>0</v>
      </c>
      <c r="P405" s="2"/>
      <c r="Q405" s="50" t="s">
        <v>1139</v>
      </c>
      <c r="R405" s="105">
        <v>613</v>
      </c>
      <c r="S405" s="105">
        <v>637</v>
      </c>
      <c r="T405" s="2"/>
    </row>
    <row r="406" spans="1:20" customFormat="1" x14ac:dyDescent="0.3">
      <c r="A406" s="2"/>
      <c r="B406" s="2"/>
      <c r="C406" s="2"/>
      <c r="D406" s="2"/>
      <c r="E406" s="2"/>
      <c r="F406" s="2"/>
      <c r="G406" s="2"/>
      <c r="H406" s="2"/>
      <c r="I406" s="2"/>
      <c r="J406" s="2"/>
      <c r="K406" s="2"/>
      <c r="L406" s="2"/>
      <c r="M406" s="105" t="s">
        <v>1139</v>
      </c>
      <c r="N406" s="105">
        <v>75.973421186656481</v>
      </c>
      <c r="O406" s="105">
        <v>45.026578813343519</v>
      </c>
      <c r="P406" s="2"/>
      <c r="Q406" s="2"/>
      <c r="R406" s="2"/>
      <c r="S406" s="2"/>
      <c r="T406" s="2"/>
    </row>
    <row r="407" spans="1:20" customFormat="1" x14ac:dyDescent="0.3">
      <c r="A407" s="2"/>
      <c r="B407" s="2"/>
      <c r="C407" s="2"/>
      <c r="D407" s="2"/>
      <c r="E407" s="2"/>
      <c r="F407" s="2"/>
      <c r="G407" s="2"/>
      <c r="H407" s="2"/>
      <c r="I407" s="2"/>
      <c r="J407" s="2"/>
      <c r="K407" s="2"/>
      <c r="L407" s="2"/>
      <c r="M407" s="2"/>
      <c r="N407" s="2"/>
      <c r="O407" s="2"/>
      <c r="P407" s="2"/>
      <c r="Q407" s="2"/>
      <c r="R407" s="2"/>
      <c r="S407" s="2"/>
      <c r="T407" s="2"/>
    </row>
    <row r="408" spans="1:20" customFormat="1" x14ac:dyDescent="0.3">
      <c r="A408" s="2"/>
      <c r="B408" s="204" t="s">
        <v>1142</v>
      </c>
      <c r="C408" s="204"/>
      <c r="D408" s="204"/>
      <c r="E408" s="204"/>
      <c r="F408" s="204"/>
      <c r="G408" s="204"/>
      <c r="H408" s="204"/>
      <c r="I408" s="204"/>
      <c r="J408" s="204"/>
      <c r="K408" s="204"/>
      <c r="L408" s="204"/>
      <c r="M408" s="204"/>
      <c r="N408" s="204"/>
      <c r="O408" s="204"/>
      <c r="P408" s="204"/>
      <c r="Q408" s="204"/>
      <c r="R408" s="204"/>
      <c r="S408" s="204"/>
      <c r="T408" s="2"/>
    </row>
    <row r="409" spans="1:20" customFormat="1" x14ac:dyDescent="0.3">
      <c r="A409" s="2"/>
      <c r="B409" s="204"/>
      <c r="C409" s="204"/>
      <c r="D409" s="204"/>
      <c r="E409" s="204"/>
      <c r="F409" s="204"/>
      <c r="G409" s="204"/>
      <c r="H409" s="204"/>
      <c r="I409" s="204"/>
      <c r="J409" s="204"/>
      <c r="K409" s="204"/>
      <c r="L409" s="204"/>
      <c r="M409" s="204"/>
      <c r="N409" s="204"/>
      <c r="O409" s="204"/>
      <c r="P409" s="204"/>
      <c r="Q409" s="204"/>
      <c r="R409" s="204"/>
      <c r="S409" s="204"/>
      <c r="T409" s="2"/>
    </row>
    <row r="410" spans="1:20" customFormat="1" x14ac:dyDescent="0.3">
      <c r="A410" s="2"/>
      <c r="B410" s="204"/>
      <c r="C410" s="204"/>
      <c r="D410" s="204"/>
      <c r="E410" s="204"/>
      <c r="F410" s="204"/>
      <c r="G410" s="204"/>
      <c r="H410" s="204"/>
      <c r="I410" s="204"/>
      <c r="J410" s="204"/>
      <c r="K410" s="204"/>
      <c r="L410" s="204"/>
      <c r="M410" s="204"/>
      <c r="N410" s="204"/>
      <c r="O410" s="204"/>
      <c r="P410" s="204"/>
      <c r="Q410" s="204"/>
      <c r="R410" s="204"/>
      <c r="S410" s="204"/>
      <c r="T410" s="2"/>
    </row>
    <row r="411" spans="1:20" customFormat="1" x14ac:dyDescent="0.3">
      <c r="A411" s="2"/>
      <c r="B411" s="2"/>
      <c r="C411" s="2"/>
      <c r="D411" s="2"/>
      <c r="E411" s="2"/>
      <c r="F411" s="2"/>
      <c r="G411" s="2"/>
      <c r="H411" s="2"/>
      <c r="I411" s="2"/>
      <c r="J411" s="2"/>
      <c r="K411" s="2"/>
      <c r="L411" s="2"/>
      <c r="M411" s="2"/>
      <c r="N411" s="2"/>
      <c r="O411" s="2"/>
      <c r="P411" s="2"/>
      <c r="Q411" s="2"/>
      <c r="R411" s="2"/>
      <c r="S411" s="2"/>
      <c r="T411" s="2"/>
    </row>
    <row r="412" spans="1:20" customFormat="1" x14ac:dyDescent="0.3">
      <c r="A412" s="2"/>
      <c r="B412" s="2"/>
      <c r="C412" s="2"/>
      <c r="D412" s="2"/>
      <c r="E412" s="2"/>
      <c r="F412" s="2"/>
      <c r="G412" s="2"/>
      <c r="H412" s="2"/>
      <c r="I412" s="2"/>
      <c r="J412" s="2"/>
      <c r="K412" s="2"/>
      <c r="L412" s="2"/>
      <c r="M412" s="2"/>
      <c r="N412" s="2"/>
      <c r="O412" s="2"/>
      <c r="P412" s="2"/>
      <c r="Q412" s="2"/>
      <c r="R412" s="2"/>
      <c r="S412" s="2"/>
      <c r="T412" s="2"/>
    </row>
    <row r="413" spans="1:20" customFormat="1" x14ac:dyDescent="0.3">
      <c r="A413" s="2"/>
      <c r="B413" s="2"/>
      <c r="C413" s="2"/>
      <c r="D413" s="2"/>
      <c r="E413" s="2"/>
      <c r="F413" s="2"/>
      <c r="G413" s="2"/>
      <c r="H413" s="2"/>
      <c r="I413" s="2"/>
      <c r="J413" s="2"/>
      <c r="K413" s="2"/>
      <c r="L413" s="2"/>
      <c r="M413" s="2"/>
      <c r="N413" s="2"/>
      <c r="O413" s="2"/>
      <c r="P413" s="2"/>
      <c r="Q413" s="2"/>
      <c r="R413" s="2"/>
      <c r="S413" s="2"/>
      <c r="T413" s="2"/>
    </row>
    <row r="414" spans="1:20" customFormat="1" x14ac:dyDescent="0.3">
      <c r="A414" s="2"/>
      <c r="B414" s="2"/>
      <c r="C414" s="2"/>
      <c r="D414" s="2"/>
      <c r="E414" s="2"/>
      <c r="F414" s="2"/>
      <c r="G414" s="2"/>
      <c r="H414" s="2"/>
      <c r="I414" s="2"/>
      <c r="J414" s="2"/>
      <c r="K414" s="2"/>
      <c r="L414" s="2"/>
      <c r="M414" s="2"/>
      <c r="N414" s="2"/>
      <c r="O414" s="2"/>
      <c r="P414" s="2"/>
      <c r="Q414" s="2"/>
      <c r="R414" s="2"/>
      <c r="S414" s="2"/>
      <c r="T414" s="2"/>
    </row>
    <row r="415" spans="1:20" customFormat="1" x14ac:dyDescent="0.3">
      <c r="A415" s="2"/>
      <c r="B415" s="2"/>
      <c r="C415" s="2"/>
      <c r="D415" s="2"/>
      <c r="E415" s="2"/>
      <c r="F415" s="2"/>
      <c r="G415" s="2"/>
      <c r="H415" s="2"/>
      <c r="I415" s="2"/>
      <c r="J415" s="2"/>
      <c r="K415" s="2"/>
      <c r="L415" s="2"/>
      <c r="M415" s="2"/>
      <c r="N415" s="2"/>
      <c r="O415" s="2"/>
      <c r="P415" s="2"/>
      <c r="Q415" s="2"/>
      <c r="R415" s="2"/>
      <c r="S415" s="2"/>
      <c r="T415" s="2"/>
    </row>
    <row r="416" spans="1:20" customFormat="1" x14ac:dyDescent="0.3">
      <c r="A416" s="2"/>
      <c r="B416" s="2"/>
      <c r="C416" s="2"/>
      <c r="D416" s="2"/>
      <c r="E416" s="2"/>
      <c r="F416" s="2"/>
      <c r="G416" s="2"/>
      <c r="H416" s="2"/>
      <c r="I416" s="2"/>
      <c r="J416" s="2"/>
      <c r="K416" s="2"/>
      <c r="L416" s="2"/>
      <c r="M416" s="2"/>
      <c r="N416" s="2"/>
      <c r="O416" s="2"/>
      <c r="P416" s="2"/>
      <c r="Q416" s="2"/>
      <c r="R416" s="2"/>
      <c r="S416" s="2"/>
      <c r="T416" s="2"/>
    </row>
    <row r="417" spans="1:20" customFormat="1" x14ac:dyDescent="0.3">
      <c r="A417" s="2"/>
      <c r="B417" s="2"/>
      <c r="C417" s="2"/>
      <c r="D417" s="2"/>
      <c r="E417" s="2"/>
      <c r="F417" s="2"/>
      <c r="G417" s="2"/>
      <c r="H417" s="2"/>
      <c r="I417" s="2"/>
      <c r="J417" s="2"/>
      <c r="K417" s="2"/>
      <c r="L417" s="2"/>
      <c r="M417" s="2"/>
      <c r="N417" s="2"/>
      <c r="O417" s="2"/>
      <c r="P417" s="2"/>
      <c r="Q417" s="2"/>
      <c r="R417" s="2"/>
      <c r="S417" s="2"/>
      <c r="T417" s="2"/>
    </row>
    <row r="418" spans="1:20" customFormat="1" x14ac:dyDescent="0.3">
      <c r="A418" s="2"/>
      <c r="B418" s="2"/>
      <c r="C418" s="2"/>
      <c r="D418" s="2"/>
      <c r="E418" s="2"/>
      <c r="F418" s="2"/>
      <c r="G418" s="2"/>
      <c r="H418" s="2"/>
      <c r="I418" s="2"/>
      <c r="J418" s="2"/>
      <c r="K418" s="2"/>
      <c r="L418" s="2"/>
      <c r="M418" s="2"/>
      <c r="N418" s="2"/>
      <c r="O418" s="2"/>
      <c r="P418" s="2"/>
      <c r="Q418" s="2"/>
      <c r="R418" s="2"/>
      <c r="S418" s="2"/>
      <c r="T418" s="2"/>
    </row>
    <row r="419" spans="1:20" customFormat="1" x14ac:dyDescent="0.3">
      <c r="A419" s="2"/>
      <c r="B419" s="2"/>
      <c r="C419" s="2"/>
      <c r="D419" s="2"/>
      <c r="E419" s="2"/>
      <c r="F419" s="2"/>
      <c r="G419" s="2"/>
      <c r="H419" s="2"/>
      <c r="I419" s="2"/>
      <c r="J419" s="2"/>
      <c r="K419" s="2"/>
      <c r="L419" s="2"/>
      <c r="M419" s="2"/>
      <c r="N419" s="2"/>
      <c r="O419" s="2"/>
      <c r="P419" s="2"/>
      <c r="Q419" s="2"/>
      <c r="R419" s="2"/>
      <c r="S419" s="2"/>
      <c r="T419" s="2"/>
    </row>
    <row r="420" spans="1:20" customFormat="1" x14ac:dyDescent="0.3">
      <c r="A420" s="2"/>
      <c r="B420" s="2"/>
      <c r="C420" s="2"/>
      <c r="D420" s="2"/>
      <c r="E420" s="2"/>
      <c r="F420" s="2"/>
      <c r="G420" s="2"/>
      <c r="H420" s="2"/>
      <c r="I420" s="2"/>
      <c r="J420" s="2"/>
      <c r="K420" s="2"/>
      <c r="L420" s="2"/>
      <c r="M420" s="2"/>
      <c r="N420" s="2"/>
      <c r="O420" s="2"/>
      <c r="P420" s="2"/>
      <c r="Q420" s="2"/>
      <c r="R420" s="2"/>
      <c r="S420" s="2"/>
      <c r="T420" s="2"/>
    </row>
    <row r="421" spans="1:20" customFormat="1" x14ac:dyDescent="0.3">
      <c r="A421" s="2"/>
      <c r="B421" s="2"/>
      <c r="C421" s="2"/>
      <c r="D421" s="2"/>
      <c r="E421" s="2"/>
      <c r="F421" s="2"/>
      <c r="G421" s="2"/>
      <c r="H421" s="2"/>
      <c r="I421" s="2"/>
      <c r="J421" s="2"/>
      <c r="K421" s="2"/>
      <c r="L421" s="2"/>
      <c r="M421" s="2"/>
      <c r="N421" s="2"/>
      <c r="O421" s="2"/>
      <c r="P421" s="2"/>
      <c r="Q421" s="2"/>
      <c r="R421" s="2"/>
      <c r="S421" s="2"/>
      <c r="T421" s="2"/>
    </row>
    <row r="422" spans="1:20" customFormat="1" x14ac:dyDescent="0.3">
      <c r="A422" s="2"/>
      <c r="B422" s="2"/>
      <c r="C422" s="2"/>
      <c r="D422" s="2"/>
      <c r="E422" s="2"/>
      <c r="F422" s="2"/>
      <c r="G422" s="2"/>
      <c r="H422" s="2"/>
      <c r="I422" s="2"/>
      <c r="J422" s="2"/>
      <c r="K422" s="2"/>
      <c r="L422" s="2"/>
      <c r="M422" s="2"/>
      <c r="N422" s="2"/>
      <c r="O422" s="2"/>
      <c r="P422" s="2"/>
      <c r="Q422" s="2"/>
      <c r="R422" s="2"/>
      <c r="S422" s="2"/>
      <c r="T422" s="2"/>
    </row>
    <row r="423" spans="1:20" customFormat="1" x14ac:dyDescent="0.3">
      <c r="A423" s="2"/>
      <c r="B423" s="2"/>
      <c r="C423" s="2"/>
      <c r="D423" s="2"/>
      <c r="E423" s="2"/>
      <c r="F423" s="2"/>
      <c r="G423" s="2"/>
      <c r="H423" s="2"/>
      <c r="I423" s="2"/>
      <c r="J423" s="2"/>
      <c r="K423" s="2"/>
      <c r="L423" s="2"/>
      <c r="M423" s="2"/>
      <c r="N423" s="2"/>
      <c r="O423" s="2"/>
      <c r="P423" s="2"/>
      <c r="Q423" s="2"/>
      <c r="R423" s="2"/>
      <c r="S423" s="2"/>
      <c r="T423" s="2"/>
    </row>
    <row r="424" spans="1:20" customFormat="1" x14ac:dyDescent="0.3">
      <c r="A424" s="2"/>
      <c r="B424" s="2"/>
      <c r="C424" s="2"/>
      <c r="D424" s="2"/>
      <c r="E424" s="2"/>
      <c r="F424" s="2"/>
      <c r="G424" s="2"/>
      <c r="H424" s="2"/>
      <c r="I424" s="2"/>
      <c r="J424" s="2"/>
      <c r="K424" s="2"/>
      <c r="L424" s="2"/>
      <c r="M424" s="2"/>
      <c r="N424" s="2"/>
      <c r="O424" s="2"/>
      <c r="P424" s="2"/>
      <c r="Q424" s="2"/>
      <c r="R424" s="2"/>
      <c r="S424" s="2"/>
      <c r="T424" s="2"/>
    </row>
    <row r="425" spans="1:20" customFormat="1" x14ac:dyDescent="0.3">
      <c r="A425" s="2"/>
      <c r="B425" s="2"/>
      <c r="C425" s="2"/>
      <c r="D425" s="2"/>
      <c r="E425" s="2"/>
      <c r="F425" s="2"/>
      <c r="G425" s="2"/>
      <c r="H425" s="2"/>
      <c r="I425" s="2"/>
      <c r="J425" s="2"/>
      <c r="K425" s="2"/>
      <c r="L425" s="2"/>
      <c r="M425" s="2"/>
      <c r="N425" s="2"/>
      <c r="O425" s="2"/>
      <c r="P425" s="2"/>
      <c r="Q425" s="2"/>
      <c r="R425" s="2"/>
      <c r="S425" s="2"/>
      <c r="T425" s="2"/>
    </row>
    <row r="426" spans="1:20" customFormat="1" x14ac:dyDescent="0.3">
      <c r="A426" s="2"/>
      <c r="B426" s="2"/>
      <c r="C426" s="2"/>
      <c r="D426" s="2"/>
      <c r="E426" s="2"/>
      <c r="F426" s="2"/>
      <c r="G426" s="2"/>
      <c r="H426" s="2"/>
      <c r="I426" s="2"/>
      <c r="J426" s="2"/>
      <c r="K426" s="2"/>
      <c r="L426" s="2"/>
      <c r="M426" s="2"/>
      <c r="N426" s="2"/>
      <c r="O426" s="2"/>
      <c r="P426" s="2"/>
      <c r="Q426" s="2"/>
      <c r="R426" s="2"/>
      <c r="S426" s="2"/>
      <c r="T426" s="2"/>
    </row>
    <row r="427" spans="1:20" customFormat="1" x14ac:dyDescent="0.3">
      <c r="A427" s="2"/>
      <c r="B427" s="2"/>
      <c r="C427" s="2"/>
      <c r="D427" s="2"/>
      <c r="E427" s="2"/>
      <c r="F427" s="2"/>
      <c r="G427" s="2"/>
      <c r="H427" s="2"/>
      <c r="I427" s="2"/>
      <c r="J427" s="2"/>
      <c r="K427" s="2"/>
      <c r="L427" s="2"/>
      <c r="M427" s="2"/>
      <c r="N427" s="2"/>
      <c r="O427" s="2"/>
      <c r="P427" s="2"/>
      <c r="Q427" s="2"/>
      <c r="R427" s="2"/>
      <c r="S427" s="2"/>
      <c r="T427" s="2"/>
    </row>
    <row r="428" spans="1:20" customFormat="1" x14ac:dyDescent="0.3">
      <c r="A428" s="2"/>
      <c r="B428" s="2"/>
      <c r="C428" s="2"/>
      <c r="D428" s="2"/>
      <c r="E428" s="2"/>
      <c r="F428" s="2"/>
      <c r="G428" s="2"/>
      <c r="H428" s="2"/>
      <c r="I428" s="2"/>
      <c r="J428" s="2"/>
      <c r="K428" s="2"/>
      <c r="L428" s="2"/>
      <c r="M428" s="2"/>
      <c r="N428" s="2"/>
      <c r="O428" s="2"/>
      <c r="P428" s="2"/>
      <c r="Q428" s="2"/>
      <c r="R428" s="2"/>
      <c r="S428" s="2"/>
      <c r="T428" s="2"/>
    </row>
    <row r="429" spans="1:20" customFormat="1" x14ac:dyDescent="0.3">
      <c r="A429" s="2"/>
      <c r="B429" s="2"/>
      <c r="C429" s="2"/>
      <c r="D429" s="2"/>
      <c r="E429" s="2"/>
      <c r="F429" s="2"/>
      <c r="G429" s="2"/>
      <c r="H429" s="2"/>
      <c r="I429" s="2"/>
      <c r="J429" s="2"/>
      <c r="K429" s="2"/>
      <c r="L429" s="2"/>
      <c r="M429" s="2"/>
      <c r="N429" s="2"/>
      <c r="O429" s="2"/>
      <c r="P429" s="2"/>
      <c r="Q429" s="2"/>
      <c r="R429" s="2"/>
      <c r="S429" s="2"/>
      <c r="T429" s="2"/>
    </row>
    <row r="430" spans="1:20" customFormat="1" x14ac:dyDescent="0.3">
      <c r="A430" s="2"/>
      <c r="B430" s="2"/>
      <c r="C430" s="2"/>
      <c r="D430" s="2"/>
      <c r="E430" s="2"/>
      <c r="F430" s="2"/>
      <c r="G430" s="2"/>
      <c r="H430" s="2"/>
      <c r="I430" s="2"/>
      <c r="J430" s="2"/>
      <c r="K430" s="2"/>
      <c r="L430" s="2"/>
      <c r="M430" s="2"/>
      <c r="N430" s="2"/>
      <c r="O430" s="2"/>
      <c r="P430" s="2"/>
      <c r="Q430" s="2"/>
      <c r="R430" s="2"/>
      <c r="S430" s="2"/>
      <c r="T430" s="2"/>
    </row>
    <row r="431" spans="1:20" customFormat="1" x14ac:dyDescent="0.3">
      <c r="A431" s="2"/>
      <c r="B431" s="2"/>
      <c r="C431" s="2"/>
      <c r="D431" s="2"/>
      <c r="E431" s="2"/>
      <c r="F431" s="2"/>
      <c r="G431" s="2"/>
      <c r="H431" s="2"/>
      <c r="I431" s="2"/>
      <c r="J431" s="2"/>
      <c r="K431" s="2"/>
      <c r="L431" s="2"/>
      <c r="M431" s="2"/>
      <c r="N431" s="2"/>
      <c r="O431" s="2"/>
      <c r="P431" s="2"/>
      <c r="Q431" s="2"/>
      <c r="R431" s="2"/>
      <c r="S431" s="2"/>
      <c r="T431" s="2"/>
    </row>
    <row r="432" spans="1:20" customFormat="1" x14ac:dyDescent="0.3">
      <c r="A432" s="2"/>
      <c r="B432" s="2"/>
      <c r="C432" s="2"/>
      <c r="D432" s="2"/>
      <c r="E432" s="2"/>
      <c r="F432" s="2"/>
      <c r="G432" s="2"/>
      <c r="H432" s="2"/>
      <c r="I432" s="2"/>
      <c r="J432" s="2"/>
      <c r="K432" s="2"/>
      <c r="L432" s="2"/>
      <c r="M432" s="2"/>
      <c r="N432" s="2"/>
      <c r="O432" s="2"/>
      <c r="P432" s="2"/>
      <c r="Q432" s="2"/>
      <c r="R432" s="2"/>
      <c r="S432" s="2"/>
      <c r="T432" s="2"/>
    </row>
    <row r="433" spans="1:20" customFormat="1" x14ac:dyDescent="0.3">
      <c r="A433" s="2"/>
      <c r="B433" s="2"/>
      <c r="C433" s="2"/>
      <c r="D433" s="2"/>
      <c r="E433" s="2"/>
      <c r="F433" s="2"/>
      <c r="G433" s="2"/>
      <c r="H433" s="2"/>
      <c r="I433" s="2"/>
      <c r="J433" s="2"/>
      <c r="K433" s="2"/>
      <c r="L433" s="2"/>
      <c r="M433" s="2"/>
      <c r="N433" s="2"/>
      <c r="O433" s="2"/>
      <c r="P433" s="2"/>
      <c r="Q433" s="2"/>
      <c r="R433" s="2"/>
      <c r="S433" s="2"/>
      <c r="T433" s="2"/>
    </row>
    <row r="434" spans="1:20" customFormat="1" x14ac:dyDescent="0.3">
      <c r="A434" s="2"/>
      <c r="B434" s="2"/>
      <c r="C434" s="2"/>
      <c r="D434" s="2"/>
      <c r="E434" s="2"/>
      <c r="F434" s="2"/>
      <c r="G434" s="2"/>
      <c r="H434" s="2"/>
      <c r="I434" s="2"/>
      <c r="J434" s="2"/>
      <c r="K434" s="2"/>
      <c r="L434" s="2"/>
      <c r="M434" s="2"/>
      <c r="N434" s="2"/>
      <c r="O434" s="2"/>
      <c r="P434" s="2"/>
      <c r="Q434" s="2"/>
      <c r="R434" s="2"/>
      <c r="S434" s="2"/>
      <c r="T434" s="2"/>
    </row>
    <row r="435" spans="1:20" customFormat="1" x14ac:dyDescent="0.3">
      <c r="A435" s="2"/>
      <c r="B435" s="2"/>
      <c r="C435" s="2"/>
      <c r="D435" s="2"/>
      <c r="E435" s="2"/>
      <c r="F435" s="2"/>
      <c r="G435" s="2"/>
      <c r="H435" s="2"/>
      <c r="I435" s="2"/>
      <c r="J435" s="2"/>
      <c r="K435" s="2"/>
      <c r="L435" s="2"/>
      <c r="M435" s="2"/>
      <c r="N435" s="2"/>
      <c r="O435" s="2"/>
      <c r="P435" s="2"/>
      <c r="Q435" s="2"/>
      <c r="R435" s="2"/>
      <c r="S435" s="2"/>
      <c r="T435" s="2"/>
    </row>
    <row r="436" spans="1:20" customFormat="1" x14ac:dyDescent="0.3">
      <c r="A436" s="2"/>
      <c r="B436" s="2"/>
      <c r="C436" s="2"/>
      <c r="D436" s="2"/>
      <c r="E436" s="2"/>
      <c r="F436" s="2"/>
      <c r="G436" s="2"/>
      <c r="H436" s="2"/>
      <c r="I436" s="2"/>
      <c r="J436" s="2"/>
      <c r="K436" s="2"/>
      <c r="L436" s="2"/>
      <c r="M436" s="2"/>
      <c r="N436" s="2"/>
      <c r="O436" s="2"/>
      <c r="P436" s="2"/>
      <c r="Q436" s="2"/>
      <c r="R436" s="2"/>
      <c r="S436" s="2"/>
      <c r="T436" s="2"/>
    </row>
    <row r="437" spans="1:20" customFormat="1" x14ac:dyDescent="0.3">
      <c r="A437" s="2"/>
      <c r="B437" s="2"/>
      <c r="C437" s="2"/>
      <c r="D437" s="2"/>
      <c r="E437" s="2"/>
      <c r="F437" s="2"/>
      <c r="G437" s="2"/>
      <c r="H437" s="2"/>
      <c r="I437" s="2"/>
      <c r="J437" s="2"/>
      <c r="K437" s="2"/>
      <c r="L437" s="2"/>
      <c r="M437" s="2"/>
      <c r="N437" s="2"/>
      <c r="O437" s="2"/>
      <c r="P437" s="2"/>
      <c r="Q437" s="2"/>
      <c r="R437" s="2"/>
      <c r="S437" s="2"/>
      <c r="T437" s="2"/>
    </row>
    <row r="438" spans="1:20" customFormat="1" x14ac:dyDescent="0.3">
      <c r="A438" s="2"/>
      <c r="B438" s="2"/>
      <c r="C438" s="2"/>
      <c r="D438" s="2"/>
      <c r="E438" s="2"/>
      <c r="F438" s="2"/>
      <c r="G438" s="2"/>
      <c r="H438" s="2"/>
      <c r="I438" s="2"/>
      <c r="J438" s="2"/>
      <c r="K438" s="2"/>
      <c r="L438" s="2"/>
      <c r="M438" s="2"/>
      <c r="N438" s="2"/>
      <c r="O438" s="2"/>
      <c r="P438" s="2"/>
      <c r="Q438" s="2"/>
      <c r="R438" s="2"/>
      <c r="S438" s="2"/>
      <c r="T438" s="2"/>
    </row>
    <row r="439" spans="1:20" customFormat="1" x14ac:dyDescent="0.3">
      <c r="A439" s="2"/>
      <c r="B439" s="2"/>
      <c r="C439" s="2"/>
      <c r="D439" s="2"/>
      <c r="E439" s="2"/>
      <c r="F439" s="2"/>
      <c r="G439" s="2"/>
      <c r="H439" s="2"/>
      <c r="I439" s="2"/>
      <c r="J439" s="2"/>
      <c r="K439" s="2"/>
      <c r="L439" s="2"/>
      <c r="M439" s="2"/>
      <c r="N439" s="2"/>
      <c r="O439" s="2"/>
      <c r="P439" s="2"/>
      <c r="Q439" s="2"/>
      <c r="R439" s="2"/>
      <c r="S439" s="2"/>
      <c r="T439" s="2"/>
    </row>
    <row r="440" spans="1:20" customFormat="1" x14ac:dyDescent="0.3">
      <c r="A440" s="2"/>
      <c r="B440" s="2"/>
      <c r="C440" s="2"/>
      <c r="D440" s="2"/>
      <c r="E440" s="2"/>
      <c r="F440" s="2"/>
      <c r="G440" s="2"/>
      <c r="H440" s="2"/>
      <c r="I440" s="2"/>
      <c r="J440" s="2"/>
      <c r="K440" s="2"/>
      <c r="L440" s="2"/>
      <c r="M440" s="2"/>
      <c r="N440" s="2"/>
      <c r="O440" s="2"/>
      <c r="P440" s="2"/>
      <c r="Q440" s="2"/>
      <c r="R440" s="2"/>
      <c r="S440" s="2"/>
      <c r="T440" s="2"/>
    </row>
    <row r="441" spans="1:20" customFormat="1" x14ac:dyDescent="0.3">
      <c r="A441" s="2"/>
      <c r="B441" s="2"/>
      <c r="C441" s="2"/>
      <c r="D441" s="2"/>
      <c r="E441" s="2"/>
      <c r="F441" s="2"/>
      <c r="G441" s="2"/>
      <c r="H441" s="2"/>
      <c r="I441" s="2"/>
      <c r="J441" s="2"/>
      <c r="K441" s="2"/>
      <c r="L441" s="2"/>
      <c r="M441" s="2"/>
      <c r="N441" s="2"/>
      <c r="O441" s="2"/>
      <c r="P441" s="2"/>
      <c r="Q441" s="2"/>
      <c r="R441" s="2"/>
      <c r="S441" s="2"/>
      <c r="T441" s="2"/>
    </row>
    <row r="442" spans="1:20" customFormat="1" x14ac:dyDescent="0.3">
      <c r="A442" s="2"/>
      <c r="B442" s="2"/>
      <c r="C442" s="2"/>
      <c r="D442" s="2"/>
      <c r="E442" s="2"/>
      <c r="F442" s="2"/>
      <c r="G442" s="2"/>
      <c r="H442" s="2"/>
      <c r="I442" s="2"/>
      <c r="J442" s="2"/>
      <c r="K442" s="2"/>
      <c r="L442" s="2"/>
      <c r="M442" s="2"/>
      <c r="N442" s="2"/>
      <c r="O442" s="2"/>
      <c r="P442" s="2"/>
      <c r="Q442" s="2"/>
      <c r="R442" s="2"/>
      <c r="S442" s="2"/>
      <c r="T442" s="2"/>
    </row>
    <row r="443" spans="1:20" customFormat="1" x14ac:dyDescent="0.3">
      <c r="A443" s="2"/>
      <c r="B443" s="2"/>
      <c r="C443" s="2"/>
      <c r="D443" s="2"/>
      <c r="E443" s="2"/>
      <c r="F443" s="2"/>
      <c r="G443" s="2"/>
      <c r="H443" s="2"/>
      <c r="I443" s="2"/>
      <c r="J443" s="2"/>
      <c r="K443" s="2"/>
      <c r="L443" s="2"/>
      <c r="M443" s="2"/>
      <c r="N443" s="2"/>
      <c r="O443" s="2"/>
      <c r="P443" s="2"/>
      <c r="Q443" s="2"/>
      <c r="R443" s="2"/>
      <c r="S443" s="2"/>
      <c r="T443" s="2"/>
    </row>
    <row r="444" spans="1:20" customFormat="1" x14ac:dyDescent="0.3">
      <c r="A444" s="2"/>
      <c r="B444" s="2"/>
      <c r="C444" s="2"/>
      <c r="D444" s="2"/>
      <c r="E444" s="2"/>
      <c r="F444" s="2"/>
      <c r="G444" s="2"/>
      <c r="H444" s="2"/>
      <c r="I444" s="2"/>
      <c r="J444" s="2"/>
      <c r="K444" s="2"/>
      <c r="L444" s="2"/>
      <c r="M444" s="2"/>
      <c r="N444" s="2"/>
      <c r="O444" s="2"/>
      <c r="P444" s="2"/>
      <c r="Q444" s="2"/>
      <c r="R444" s="2"/>
      <c r="S444" s="2"/>
      <c r="T444" s="2"/>
    </row>
    <row r="445" spans="1:20" customFormat="1" x14ac:dyDescent="0.3">
      <c r="A445" s="2"/>
      <c r="B445" s="2"/>
      <c r="C445" s="2"/>
      <c r="D445" s="2"/>
      <c r="E445" s="2"/>
      <c r="F445" s="2"/>
      <c r="G445" s="2"/>
      <c r="H445" s="2"/>
      <c r="I445" s="2"/>
      <c r="J445" s="2"/>
      <c r="K445" s="2"/>
      <c r="L445" s="2"/>
      <c r="M445" s="2"/>
      <c r="N445" s="2"/>
      <c r="O445" s="2"/>
      <c r="P445" s="2"/>
      <c r="Q445" s="2"/>
      <c r="R445" s="2"/>
      <c r="S445" s="2"/>
      <c r="T445" s="2"/>
    </row>
    <row r="446" spans="1:20" customFormat="1" x14ac:dyDescent="0.3">
      <c r="A446" s="2"/>
      <c r="B446" s="2"/>
      <c r="C446" s="2"/>
      <c r="D446" s="2"/>
      <c r="E446" s="2"/>
      <c r="F446" s="2"/>
      <c r="G446" s="2"/>
      <c r="H446" s="2"/>
      <c r="I446" s="2"/>
      <c r="J446" s="2"/>
      <c r="K446" s="2"/>
      <c r="L446" s="2"/>
      <c r="M446" s="2"/>
      <c r="N446" s="2"/>
      <c r="O446" s="2"/>
      <c r="P446" s="2"/>
      <c r="Q446" s="2"/>
      <c r="R446" s="2"/>
      <c r="S446" s="2"/>
      <c r="T446" s="2"/>
    </row>
    <row r="447" spans="1:20" customFormat="1" x14ac:dyDescent="0.3">
      <c r="A447" s="2"/>
      <c r="B447" s="2"/>
      <c r="C447" s="2"/>
      <c r="D447" s="2"/>
      <c r="E447" s="2"/>
      <c r="F447" s="2"/>
      <c r="G447" s="2"/>
      <c r="H447" s="2"/>
      <c r="I447" s="2"/>
      <c r="J447" s="2"/>
      <c r="K447" s="2"/>
      <c r="L447" s="2"/>
      <c r="M447" s="2"/>
      <c r="N447" s="2"/>
      <c r="O447" s="2"/>
      <c r="P447" s="2"/>
      <c r="Q447" s="2"/>
      <c r="R447" s="2"/>
      <c r="S447" s="2"/>
      <c r="T447" s="2"/>
    </row>
    <row r="448" spans="1:20" customFormat="1" x14ac:dyDescent="0.3">
      <c r="A448" s="2"/>
      <c r="B448" s="2"/>
      <c r="C448" s="2"/>
      <c r="D448" s="2"/>
      <c r="E448" s="2"/>
      <c r="F448" s="2"/>
      <c r="G448" s="2"/>
      <c r="H448" s="2"/>
      <c r="I448" s="2"/>
      <c r="J448" s="2"/>
      <c r="K448" s="2"/>
      <c r="L448" s="2"/>
      <c r="M448" s="2"/>
      <c r="N448" s="2"/>
      <c r="O448" s="2"/>
      <c r="P448" s="2"/>
      <c r="Q448" s="2"/>
      <c r="R448" s="2"/>
      <c r="S448" s="2"/>
      <c r="T448" s="2"/>
    </row>
    <row r="449" spans="1:20" customFormat="1" x14ac:dyDescent="0.3">
      <c r="A449" s="2"/>
      <c r="B449" s="2"/>
      <c r="C449" s="2"/>
      <c r="D449" s="2"/>
      <c r="E449" s="2"/>
      <c r="F449" s="2"/>
      <c r="G449" s="2"/>
      <c r="H449" s="2"/>
      <c r="I449" s="2"/>
      <c r="J449" s="2"/>
      <c r="K449" s="2"/>
      <c r="L449" s="2"/>
      <c r="M449" s="2"/>
      <c r="N449" s="2"/>
      <c r="O449" s="2"/>
      <c r="P449" s="2"/>
      <c r="Q449" s="2"/>
      <c r="R449" s="2"/>
      <c r="S449" s="2"/>
      <c r="T449" s="2"/>
    </row>
    <row r="450" spans="1:20" customFormat="1" x14ac:dyDescent="0.3">
      <c r="A450" s="2"/>
      <c r="B450" s="2"/>
      <c r="C450" s="2"/>
      <c r="D450" s="2"/>
      <c r="E450" s="2"/>
      <c r="F450" s="2"/>
      <c r="G450" s="2"/>
      <c r="H450" s="2"/>
      <c r="I450" s="2"/>
      <c r="J450" s="2"/>
      <c r="K450" s="2"/>
      <c r="L450" s="2"/>
      <c r="M450" s="2"/>
      <c r="N450" s="2"/>
      <c r="O450" s="2"/>
      <c r="P450" s="2"/>
      <c r="Q450" s="2"/>
      <c r="R450" s="2"/>
      <c r="S450" s="2"/>
      <c r="T450" s="2"/>
    </row>
    <row r="451" spans="1:20" customFormat="1" x14ac:dyDescent="0.3">
      <c r="A451" s="2"/>
      <c r="B451" s="2"/>
      <c r="C451" s="2"/>
      <c r="D451" s="2"/>
      <c r="E451" s="2"/>
      <c r="F451" s="2"/>
      <c r="G451" s="2"/>
      <c r="H451" s="2"/>
      <c r="I451" s="2"/>
      <c r="J451" s="2"/>
      <c r="K451" s="2"/>
      <c r="L451" s="2"/>
      <c r="M451" s="2"/>
      <c r="N451" s="2"/>
      <c r="O451" s="2"/>
      <c r="P451" s="2"/>
      <c r="Q451" s="2"/>
      <c r="R451" s="2"/>
      <c r="S451" s="2"/>
      <c r="T451" s="2"/>
    </row>
    <row r="452" spans="1:20" customFormat="1" x14ac:dyDescent="0.3">
      <c r="A452" s="2"/>
      <c r="B452" s="2"/>
      <c r="C452" s="2"/>
      <c r="D452" s="2"/>
      <c r="E452" s="2"/>
      <c r="F452" s="2"/>
      <c r="G452" s="2"/>
      <c r="H452" s="2"/>
      <c r="I452" s="2"/>
      <c r="J452" s="2"/>
      <c r="K452" s="2"/>
      <c r="L452" s="2"/>
      <c r="M452" s="2"/>
      <c r="N452" s="2"/>
      <c r="O452" s="2"/>
      <c r="P452" s="2"/>
      <c r="Q452" s="2"/>
      <c r="R452" s="2"/>
      <c r="S452" s="2"/>
      <c r="T452" s="2"/>
    </row>
    <row r="453" spans="1:20" customFormat="1" x14ac:dyDescent="0.3">
      <c r="A453" s="2"/>
      <c r="B453" s="2"/>
      <c r="C453" s="2"/>
      <c r="D453" s="2"/>
      <c r="E453" s="2"/>
      <c r="F453" s="2"/>
      <c r="G453" s="2"/>
      <c r="H453" s="2"/>
      <c r="I453" s="2"/>
      <c r="J453" s="2"/>
      <c r="K453" s="2"/>
      <c r="L453" s="2"/>
      <c r="M453" s="2"/>
      <c r="N453" s="2"/>
      <c r="O453" s="2"/>
      <c r="P453" s="2"/>
      <c r="Q453" s="2"/>
      <c r="R453" s="2"/>
      <c r="S453" s="2"/>
      <c r="T453" s="2"/>
    </row>
    <row r="454" spans="1:20" customFormat="1" x14ac:dyDescent="0.3">
      <c r="A454" s="2"/>
      <c r="B454" s="2"/>
      <c r="C454" s="2"/>
      <c r="D454" s="2"/>
      <c r="E454" s="2"/>
      <c r="F454" s="2"/>
      <c r="G454" s="2"/>
      <c r="H454" s="2"/>
      <c r="I454" s="2"/>
      <c r="J454" s="2"/>
      <c r="K454" s="2"/>
      <c r="L454" s="2"/>
      <c r="M454" s="2"/>
      <c r="N454" s="2"/>
      <c r="O454" s="2"/>
      <c r="P454" s="2"/>
      <c r="Q454" s="2"/>
      <c r="R454" s="2"/>
      <c r="S454" s="2"/>
      <c r="T454" s="2"/>
    </row>
    <row r="455" spans="1:20" customFormat="1" x14ac:dyDescent="0.3">
      <c r="A455" s="2"/>
      <c r="B455" s="2"/>
      <c r="C455" s="2"/>
      <c r="D455" s="2"/>
      <c r="E455" s="2"/>
      <c r="F455" s="2"/>
      <c r="G455" s="2"/>
      <c r="H455" s="2"/>
      <c r="I455" s="2"/>
      <c r="J455" s="2"/>
      <c r="K455" s="2"/>
      <c r="L455" s="2"/>
      <c r="M455" s="2"/>
      <c r="N455" s="2"/>
      <c r="O455" s="2"/>
      <c r="P455" s="2"/>
      <c r="Q455" s="2"/>
      <c r="R455" s="2"/>
      <c r="S455" s="2"/>
      <c r="T455" s="2"/>
    </row>
    <row r="456" spans="1:20" customFormat="1" x14ac:dyDescent="0.3">
      <c r="A456" s="2"/>
      <c r="B456" s="2"/>
      <c r="C456" s="2"/>
      <c r="D456" s="2"/>
      <c r="E456" s="2"/>
      <c r="F456" s="2"/>
      <c r="G456" s="2"/>
      <c r="H456" s="2"/>
      <c r="I456" s="2"/>
      <c r="J456" s="2"/>
      <c r="K456" s="2"/>
      <c r="L456" s="2"/>
      <c r="M456" s="2"/>
      <c r="N456" s="2"/>
      <c r="O456" s="2"/>
      <c r="P456" s="2"/>
      <c r="Q456" s="2"/>
      <c r="R456" s="2"/>
      <c r="S456" s="2"/>
      <c r="T456" s="2"/>
    </row>
    <row r="457" spans="1:20" customFormat="1" x14ac:dyDescent="0.3">
      <c r="A457" s="2"/>
      <c r="B457" s="2"/>
      <c r="C457" s="2"/>
      <c r="D457" s="2"/>
      <c r="E457" s="2"/>
      <c r="F457" s="2"/>
      <c r="G457" s="2"/>
      <c r="H457" s="2"/>
      <c r="I457" s="2"/>
      <c r="J457" s="2"/>
      <c r="K457" s="2"/>
      <c r="L457" s="2"/>
      <c r="M457" s="2"/>
      <c r="N457" s="2"/>
      <c r="O457" s="2"/>
      <c r="P457" s="2"/>
      <c r="Q457" s="2"/>
      <c r="R457" s="2"/>
      <c r="S457" s="2"/>
      <c r="T457" s="2"/>
    </row>
    <row r="458" spans="1:20" customFormat="1" x14ac:dyDescent="0.3">
      <c r="A458" s="2"/>
      <c r="B458" s="2"/>
      <c r="C458" s="2"/>
      <c r="D458" s="2"/>
      <c r="E458" s="2"/>
      <c r="F458" s="2"/>
      <c r="G458" s="2"/>
      <c r="H458" s="2"/>
      <c r="I458" s="2"/>
      <c r="J458" s="2"/>
      <c r="K458" s="2"/>
      <c r="L458" s="2"/>
      <c r="M458" s="2"/>
      <c r="N458" s="2"/>
      <c r="O458" s="2"/>
      <c r="P458" s="2"/>
      <c r="Q458" s="2"/>
      <c r="R458" s="2"/>
      <c r="S458" s="2"/>
      <c r="T458" s="2"/>
    </row>
    <row r="459" spans="1:20" customFormat="1" x14ac:dyDescent="0.3">
      <c r="A459" s="2"/>
      <c r="B459" s="2"/>
      <c r="C459" s="2"/>
      <c r="D459" s="2"/>
      <c r="E459" s="2"/>
      <c r="F459" s="2"/>
      <c r="G459" s="2"/>
      <c r="H459" s="2"/>
      <c r="I459" s="2"/>
      <c r="J459" s="2"/>
      <c r="K459" s="2"/>
      <c r="L459" s="2"/>
      <c r="M459" s="2"/>
      <c r="N459" s="2"/>
      <c r="O459" s="2"/>
      <c r="P459" s="2"/>
      <c r="Q459" s="2"/>
      <c r="R459" s="2"/>
      <c r="S459" s="2"/>
      <c r="T459" s="2"/>
    </row>
    <row r="460" spans="1:20" customFormat="1" x14ac:dyDescent="0.3">
      <c r="A460" s="2"/>
      <c r="B460" s="2"/>
      <c r="C460" s="2"/>
      <c r="D460" s="2"/>
      <c r="E460" s="2"/>
      <c r="F460" s="2"/>
      <c r="G460" s="2"/>
      <c r="H460" s="2"/>
      <c r="I460" s="2"/>
      <c r="J460" s="2"/>
      <c r="K460" s="2"/>
      <c r="L460" s="2"/>
      <c r="M460" s="2"/>
      <c r="N460" s="2"/>
      <c r="O460" s="2"/>
      <c r="P460" s="2"/>
      <c r="Q460" s="2"/>
      <c r="R460" s="2"/>
      <c r="S460" s="2"/>
      <c r="T460" s="2"/>
    </row>
    <row r="461" spans="1:20" customFormat="1" x14ac:dyDescent="0.3">
      <c r="A461" s="2"/>
      <c r="B461" s="2"/>
      <c r="C461" s="2"/>
      <c r="D461" s="2"/>
      <c r="E461" s="2"/>
      <c r="F461" s="2"/>
      <c r="G461" s="2"/>
      <c r="H461" s="2"/>
      <c r="I461" s="2"/>
      <c r="J461" s="2"/>
      <c r="K461" s="2"/>
      <c r="L461" s="2"/>
      <c r="M461" s="2"/>
      <c r="N461" s="2"/>
      <c r="O461" s="2"/>
      <c r="P461" s="2"/>
      <c r="Q461" s="2"/>
      <c r="R461" s="2"/>
      <c r="S461" s="2"/>
      <c r="T461" s="2"/>
    </row>
    <row r="462" spans="1:20" customFormat="1" x14ac:dyDescent="0.3">
      <c r="A462" s="2"/>
      <c r="B462" s="2"/>
      <c r="C462" s="2"/>
      <c r="D462" s="2"/>
      <c r="E462" s="2"/>
      <c r="F462" s="2"/>
      <c r="G462" s="2"/>
      <c r="H462" s="2"/>
      <c r="I462" s="2"/>
      <c r="J462" s="2"/>
      <c r="K462" s="2"/>
      <c r="L462" s="2"/>
      <c r="M462" s="2"/>
      <c r="N462" s="2"/>
      <c r="O462" s="2"/>
      <c r="P462" s="2"/>
      <c r="Q462" s="2"/>
      <c r="R462" s="2"/>
      <c r="S462" s="2"/>
      <c r="T462" s="2"/>
    </row>
    <row r="463" spans="1:20" customFormat="1" x14ac:dyDescent="0.3">
      <c r="A463" s="2"/>
      <c r="B463" s="2"/>
      <c r="C463" s="2"/>
      <c r="D463" s="2"/>
      <c r="E463" s="2"/>
      <c r="F463" s="2"/>
      <c r="G463" s="2"/>
      <c r="H463" s="2"/>
      <c r="I463" s="2"/>
      <c r="J463" s="2"/>
      <c r="K463" s="2"/>
      <c r="L463" s="2"/>
      <c r="M463" s="2"/>
      <c r="N463" s="2"/>
      <c r="O463" s="2"/>
      <c r="P463" s="2"/>
      <c r="Q463" s="2"/>
      <c r="R463" s="2"/>
      <c r="S463" s="2"/>
      <c r="T463" s="2"/>
    </row>
    <row r="464" spans="1:20" customFormat="1" x14ac:dyDescent="0.3">
      <c r="A464" s="2"/>
      <c r="B464" s="2"/>
      <c r="C464" s="2"/>
      <c r="D464" s="2"/>
      <c r="E464" s="2"/>
      <c r="F464" s="2"/>
      <c r="G464" s="2"/>
      <c r="H464" s="2"/>
      <c r="I464" s="2"/>
      <c r="J464" s="2"/>
      <c r="K464" s="2"/>
      <c r="L464" s="2"/>
      <c r="M464" s="2"/>
      <c r="N464" s="2"/>
      <c r="O464" s="2"/>
      <c r="P464" s="2"/>
      <c r="Q464" s="2"/>
      <c r="R464" s="2"/>
      <c r="S464" s="2"/>
      <c r="T464" s="2"/>
    </row>
    <row r="465" spans="1:20" customFormat="1" x14ac:dyDescent="0.3">
      <c r="A465" s="2"/>
      <c r="B465" s="2"/>
      <c r="C465" s="2"/>
      <c r="D465" s="2"/>
      <c r="E465" s="2"/>
      <c r="F465" s="2"/>
      <c r="G465" s="2"/>
      <c r="H465" s="2"/>
      <c r="I465" s="2"/>
      <c r="J465" s="2"/>
      <c r="K465" s="2"/>
      <c r="L465" s="2"/>
      <c r="M465" s="2"/>
      <c r="N465" s="2"/>
      <c r="O465" s="2"/>
      <c r="P465" s="2"/>
      <c r="Q465" s="2"/>
      <c r="R465" s="2"/>
      <c r="S465" s="2"/>
      <c r="T465" s="2"/>
    </row>
    <row r="466" spans="1:20" customFormat="1" x14ac:dyDescent="0.3">
      <c r="A466" s="2"/>
      <c r="B466" s="2"/>
      <c r="C466" s="2"/>
      <c r="D466" s="2"/>
      <c r="E466" s="2"/>
      <c r="F466" s="2"/>
      <c r="G466" s="2"/>
      <c r="H466" s="2"/>
      <c r="I466" s="2"/>
      <c r="J466" s="2"/>
      <c r="K466" s="2"/>
      <c r="L466" s="2"/>
      <c r="M466" s="2"/>
      <c r="N466" s="2"/>
      <c r="O466" s="2"/>
      <c r="P466" s="2"/>
      <c r="Q466" s="2"/>
      <c r="R466" s="2"/>
      <c r="S466" s="2"/>
      <c r="T466" s="2"/>
    </row>
    <row r="467" spans="1:20" customFormat="1" x14ac:dyDescent="0.3">
      <c r="A467" s="2"/>
      <c r="B467" s="2"/>
      <c r="C467" s="2"/>
      <c r="D467" s="2"/>
      <c r="E467" s="2"/>
      <c r="F467" s="2"/>
      <c r="G467" s="2"/>
      <c r="H467" s="2"/>
      <c r="I467" s="2"/>
      <c r="J467" s="2"/>
      <c r="K467" s="2"/>
      <c r="L467" s="2"/>
      <c r="M467" s="2"/>
      <c r="N467" s="2"/>
      <c r="O467" s="2"/>
      <c r="P467" s="2"/>
      <c r="Q467" s="2"/>
      <c r="R467" s="2"/>
      <c r="S467" s="2"/>
      <c r="T467" s="2"/>
    </row>
    <row r="468" spans="1:20" customFormat="1" x14ac:dyDescent="0.3">
      <c r="A468" s="2"/>
      <c r="B468" s="2"/>
      <c r="C468" s="2"/>
      <c r="D468" s="2"/>
      <c r="E468" s="2"/>
      <c r="F468" s="2"/>
      <c r="G468" s="2"/>
      <c r="H468" s="2"/>
      <c r="I468" s="2"/>
      <c r="J468" s="2"/>
      <c r="K468" s="2"/>
      <c r="L468" s="2"/>
      <c r="M468" s="2"/>
      <c r="N468" s="2"/>
      <c r="O468" s="2"/>
      <c r="P468" s="2"/>
      <c r="Q468" s="2"/>
      <c r="R468" s="2"/>
      <c r="S468" s="2"/>
      <c r="T468" s="2"/>
    </row>
    <row r="469" spans="1:20" customFormat="1" x14ac:dyDescent="0.3">
      <c r="A469" s="2"/>
      <c r="B469" s="2"/>
      <c r="C469" s="2"/>
      <c r="D469" s="2"/>
      <c r="E469" s="2"/>
      <c r="F469" s="2"/>
      <c r="G469" s="2"/>
      <c r="H469" s="2"/>
      <c r="I469" s="2"/>
      <c r="J469" s="2"/>
      <c r="K469" s="2"/>
      <c r="L469" s="2"/>
      <c r="M469" s="2"/>
      <c r="N469" s="2"/>
      <c r="O469" s="2"/>
      <c r="P469" s="2"/>
      <c r="Q469" s="2"/>
      <c r="R469" s="2"/>
      <c r="S469" s="2"/>
      <c r="T469" s="2"/>
    </row>
    <row r="470" spans="1:20" customFormat="1" x14ac:dyDescent="0.3">
      <c r="A470" s="2"/>
      <c r="B470" s="2"/>
      <c r="C470" s="2"/>
      <c r="D470" s="2"/>
      <c r="E470" s="2"/>
      <c r="F470" s="2"/>
      <c r="G470" s="2"/>
      <c r="H470" s="2"/>
      <c r="I470" s="2"/>
      <c r="J470" s="2"/>
      <c r="K470" s="2"/>
      <c r="L470" s="2"/>
      <c r="M470" s="2"/>
      <c r="N470" s="2"/>
      <c r="O470" s="2"/>
      <c r="P470" s="2"/>
      <c r="Q470" s="2"/>
      <c r="R470" s="2"/>
      <c r="S470" s="2"/>
      <c r="T470" s="2"/>
    </row>
    <row r="471" spans="1:20" customFormat="1" x14ac:dyDescent="0.3">
      <c r="A471" s="2"/>
      <c r="B471" s="2"/>
      <c r="C471" s="181" t="s">
        <v>1767</v>
      </c>
      <c r="D471" s="182"/>
      <c r="E471" s="182"/>
      <c r="F471" s="182"/>
      <c r="G471" s="182"/>
      <c r="H471" s="183"/>
      <c r="I471" s="2"/>
      <c r="J471" s="104" t="s">
        <v>1748</v>
      </c>
      <c r="K471" s="104" t="s">
        <v>1768</v>
      </c>
      <c r="L471" s="105" t="s">
        <v>1769</v>
      </c>
      <c r="M471" s="2"/>
      <c r="N471" s="2"/>
      <c r="O471" s="2"/>
      <c r="P471" s="2"/>
      <c r="Q471" s="2"/>
      <c r="R471" s="2"/>
      <c r="S471" s="2"/>
      <c r="T471" s="2"/>
    </row>
    <row r="472" spans="1:20" customFormat="1" x14ac:dyDescent="0.3">
      <c r="A472" s="2"/>
      <c r="B472" s="2"/>
      <c r="C472" s="184"/>
      <c r="D472" s="185"/>
      <c r="E472" s="185"/>
      <c r="F472" s="185"/>
      <c r="G472" s="185"/>
      <c r="H472" s="186"/>
      <c r="I472" s="2"/>
      <c r="J472" s="138" t="s">
        <v>1522</v>
      </c>
      <c r="K472" s="139">
        <v>0.9</v>
      </c>
      <c r="L472" s="137">
        <v>0.1</v>
      </c>
      <c r="M472" s="2"/>
      <c r="N472" s="2"/>
      <c r="O472" s="2"/>
      <c r="P472" s="2"/>
      <c r="Q472" s="2"/>
      <c r="R472" s="2"/>
      <c r="S472" s="2"/>
      <c r="T472" s="2"/>
    </row>
    <row r="473" spans="1:20" customFormat="1" x14ac:dyDescent="0.3">
      <c r="A473" s="2"/>
      <c r="B473" s="2"/>
      <c r="C473" s="187"/>
      <c r="D473" s="188"/>
      <c r="E473" s="188"/>
      <c r="F473" s="188"/>
      <c r="G473" s="188"/>
      <c r="H473" s="189"/>
      <c r="I473" s="2"/>
      <c r="J473" s="100" t="s">
        <v>1662</v>
      </c>
      <c r="K473" s="140">
        <v>0.82352941176470584</v>
      </c>
      <c r="L473" s="133">
        <v>0.17647058823529413</v>
      </c>
      <c r="M473" s="2"/>
      <c r="N473" s="2"/>
      <c r="O473" s="2"/>
      <c r="P473" s="2"/>
      <c r="Q473" s="2"/>
      <c r="R473" s="2"/>
      <c r="S473" s="2"/>
      <c r="T473" s="2"/>
    </row>
    <row r="474" spans="1:20" customFormat="1" x14ac:dyDescent="0.3">
      <c r="A474" s="2"/>
      <c r="B474" s="2"/>
      <c r="C474" s="2"/>
      <c r="D474" s="2"/>
      <c r="E474" s="2"/>
      <c r="F474" s="2"/>
      <c r="G474" s="2"/>
      <c r="H474" s="2"/>
      <c r="I474" s="2"/>
      <c r="J474" s="100" t="s">
        <v>1488</v>
      </c>
      <c r="K474" s="140">
        <v>0.8</v>
      </c>
      <c r="L474" s="133">
        <v>0.2</v>
      </c>
      <c r="M474" s="2"/>
      <c r="N474" s="2"/>
      <c r="O474" s="2"/>
      <c r="P474" s="2"/>
      <c r="Q474" s="2"/>
      <c r="R474" s="2"/>
      <c r="S474" s="2"/>
      <c r="T474" s="2"/>
    </row>
    <row r="475" spans="1:20" customFormat="1" x14ac:dyDescent="0.3">
      <c r="A475" s="2"/>
      <c r="B475" s="2"/>
      <c r="C475" s="2"/>
      <c r="D475" s="2"/>
      <c r="E475" s="2"/>
      <c r="F475" s="2"/>
      <c r="G475" s="2"/>
      <c r="H475" s="2"/>
      <c r="I475" s="2"/>
      <c r="J475" s="100" t="s">
        <v>1657</v>
      </c>
      <c r="K475" s="140">
        <v>0.8</v>
      </c>
      <c r="L475" s="133">
        <v>0.2</v>
      </c>
      <c r="M475" s="2"/>
      <c r="N475" s="2"/>
      <c r="O475" s="2"/>
      <c r="P475" s="2"/>
      <c r="Q475" s="2"/>
      <c r="R475" s="2"/>
      <c r="S475" s="2"/>
      <c r="T475" s="2"/>
    </row>
    <row r="476" spans="1:20" customFormat="1" ht="14.4" customHeight="1" x14ac:dyDescent="0.3">
      <c r="A476" s="2"/>
      <c r="B476" s="2"/>
      <c r="C476" s="190" t="s">
        <v>1848</v>
      </c>
      <c r="D476" s="191"/>
      <c r="E476" s="191"/>
      <c r="F476" s="191"/>
      <c r="G476" s="191"/>
      <c r="H476" s="192"/>
      <c r="I476" s="2"/>
      <c r="J476" s="100" t="s">
        <v>1416</v>
      </c>
      <c r="K476" s="140">
        <v>0.8</v>
      </c>
      <c r="L476" s="133">
        <v>0.2</v>
      </c>
      <c r="M476" s="2"/>
      <c r="N476" s="2"/>
      <c r="O476" s="2"/>
      <c r="P476" s="2"/>
      <c r="Q476" s="2"/>
      <c r="R476" s="2"/>
      <c r="S476" s="2"/>
      <c r="T476" s="2"/>
    </row>
    <row r="477" spans="1:20" customFormat="1" x14ac:dyDescent="0.3">
      <c r="A477" s="2"/>
      <c r="B477" s="2"/>
      <c r="C477" s="193"/>
      <c r="D477" s="194"/>
      <c r="E477" s="194"/>
      <c r="F477" s="194"/>
      <c r="G477" s="194"/>
      <c r="H477" s="195"/>
      <c r="I477" s="2"/>
      <c r="J477" s="100" t="s">
        <v>1463</v>
      </c>
      <c r="K477" s="140">
        <v>0.8</v>
      </c>
      <c r="L477" s="133">
        <v>0.2</v>
      </c>
      <c r="M477" s="2"/>
      <c r="N477" s="2"/>
      <c r="O477" s="2"/>
      <c r="P477" s="2"/>
      <c r="Q477" s="2"/>
      <c r="R477" s="2"/>
      <c r="S477" s="2"/>
      <c r="T477" s="2"/>
    </row>
    <row r="478" spans="1:20" customFormat="1" x14ac:dyDescent="0.3">
      <c r="A478" s="2"/>
      <c r="B478" s="2"/>
      <c r="C478" s="193"/>
      <c r="D478" s="194"/>
      <c r="E478" s="194"/>
      <c r="F478" s="194"/>
      <c r="G478" s="194"/>
      <c r="H478" s="195"/>
      <c r="I478" s="2"/>
      <c r="J478" s="100" t="s">
        <v>1164</v>
      </c>
      <c r="K478" s="140">
        <v>0.8</v>
      </c>
      <c r="L478" s="133">
        <v>0.2</v>
      </c>
      <c r="M478" s="2"/>
      <c r="N478" s="2"/>
      <c r="O478" s="2"/>
      <c r="P478" s="2"/>
      <c r="Q478" s="2"/>
      <c r="R478" s="2"/>
      <c r="S478" s="2"/>
      <c r="T478" s="2"/>
    </row>
    <row r="479" spans="1:20" customFormat="1" x14ac:dyDescent="0.3">
      <c r="A479" s="2"/>
      <c r="B479" s="2"/>
      <c r="C479" s="193"/>
      <c r="D479" s="194"/>
      <c r="E479" s="194"/>
      <c r="F479" s="194"/>
      <c r="G479" s="194"/>
      <c r="H479" s="195"/>
      <c r="I479" s="2"/>
      <c r="J479" s="100" t="s">
        <v>1197</v>
      </c>
      <c r="K479" s="140">
        <v>0.7857142857142857</v>
      </c>
      <c r="L479" s="133">
        <v>0.21428571428571427</v>
      </c>
      <c r="M479" s="2"/>
      <c r="N479" s="2"/>
      <c r="O479" s="2"/>
      <c r="P479" s="2"/>
      <c r="Q479" s="2"/>
      <c r="R479" s="2"/>
      <c r="S479" s="2"/>
      <c r="T479" s="2"/>
    </row>
    <row r="480" spans="1:20" customFormat="1" x14ac:dyDescent="0.3">
      <c r="A480" s="2"/>
      <c r="B480" s="2"/>
      <c r="C480" s="193"/>
      <c r="D480" s="194"/>
      <c r="E480" s="194"/>
      <c r="F480" s="194"/>
      <c r="G480" s="194"/>
      <c r="H480" s="195"/>
      <c r="I480" s="2"/>
      <c r="J480" s="100" t="s">
        <v>1312</v>
      </c>
      <c r="K480" s="140">
        <v>0.75</v>
      </c>
      <c r="L480" s="133">
        <v>0.25</v>
      </c>
      <c r="M480" s="2"/>
      <c r="N480" s="2"/>
      <c r="O480" s="2"/>
      <c r="P480" s="2"/>
      <c r="Q480" s="2"/>
      <c r="R480" s="2"/>
      <c r="S480" s="2"/>
      <c r="T480" s="2"/>
    </row>
    <row r="481" spans="1:20" customFormat="1" x14ac:dyDescent="0.3">
      <c r="A481" s="2"/>
      <c r="B481" s="2"/>
      <c r="C481" s="193"/>
      <c r="D481" s="194"/>
      <c r="E481" s="194"/>
      <c r="F481" s="194"/>
      <c r="G481" s="194"/>
      <c r="H481" s="195"/>
      <c r="I481" s="2"/>
      <c r="J481" s="100" t="s">
        <v>1274</v>
      </c>
      <c r="K481" s="140">
        <v>0.75</v>
      </c>
      <c r="L481" s="133">
        <v>0.25</v>
      </c>
      <c r="M481" s="2"/>
      <c r="N481" s="2"/>
      <c r="O481" s="2"/>
      <c r="P481" s="2"/>
      <c r="Q481" s="2"/>
      <c r="R481" s="2"/>
      <c r="S481" s="2"/>
      <c r="T481" s="2"/>
    </row>
    <row r="482" spans="1:20" customFormat="1" x14ac:dyDescent="0.3">
      <c r="A482" s="2"/>
      <c r="B482" s="2"/>
      <c r="C482" s="193"/>
      <c r="D482" s="194"/>
      <c r="E482" s="194"/>
      <c r="F482" s="194"/>
      <c r="G482" s="194"/>
      <c r="H482" s="195"/>
      <c r="I482" s="2"/>
      <c r="J482" s="100" t="s">
        <v>1584</v>
      </c>
      <c r="K482" s="140">
        <v>0.75</v>
      </c>
      <c r="L482" s="133">
        <v>0.25</v>
      </c>
      <c r="M482" s="2"/>
      <c r="N482" s="2"/>
      <c r="O482" s="2"/>
      <c r="P482" s="2"/>
      <c r="Q482" s="2"/>
      <c r="R482" s="2"/>
      <c r="S482" s="2"/>
      <c r="T482" s="2"/>
    </row>
    <row r="483" spans="1:20" customFormat="1" x14ac:dyDescent="0.3">
      <c r="A483" s="2"/>
      <c r="B483" s="2"/>
      <c r="C483" s="193"/>
      <c r="D483" s="194"/>
      <c r="E483" s="194"/>
      <c r="F483" s="194"/>
      <c r="G483" s="194"/>
      <c r="H483" s="195"/>
      <c r="I483" s="2"/>
      <c r="J483" s="100" t="s">
        <v>1231</v>
      </c>
      <c r="K483" s="140">
        <v>0.75</v>
      </c>
      <c r="L483" s="133">
        <v>0.25</v>
      </c>
      <c r="M483" s="2"/>
      <c r="N483" s="2"/>
      <c r="O483" s="2"/>
      <c r="P483" s="2"/>
      <c r="Q483" s="2"/>
      <c r="R483" s="2"/>
      <c r="S483" s="2"/>
      <c r="T483" s="2"/>
    </row>
    <row r="484" spans="1:20" customFormat="1" x14ac:dyDescent="0.3">
      <c r="A484" s="2"/>
      <c r="B484" s="2"/>
      <c r="C484" s="193"/>
      <c r="D484" s="194"/>
      <c r="E484" s="194"/>
      <c r="F484" s="194"/>
      <c r="G484" s="194"/>
      <c r="H484" s="195"/>
      <c r="I484" s="2"/>
      <c r="J484" s="100" t="s">
        <v>1681</v>
      </c>
      <c r="K484" s="140">
        <v>0.75</v>
      </c>
      <c r="L484" s="133">
        <v>0.25</v>
      </c>
      <c r="M484" s="2"/>
      <c r="N484" s="2"/>
      <c r="O484" s="2"/>
      <c r="P484" s="2"/>
      <c r="Q484" s="2"/>
      <c r="R484" s="2"/>
      <c r="S484" s="2"/>
      <c r="T484" s="2"/>
    </row>
    <row r="485" spans="1:20" customFormat="1" x14ac:dyDescent="0.3">
      <c r="A485" s="2"/>
      <c r="B485" s="2"/>
      <c r="C485" s="193"/>
      <c r="D485" s="194"/>
      <c r="E485" s="194"/>
      <c r="F485" s="194"/>
      <c r="G485" s="194"/>
      <c r="H485" s="195"/>
      <c r="I485" s="2"/>
      <c r="J485" s="100" t="s">
        <v>1690</v>
      </c>
      <c r="K485" s="140">
        <v>0.75</v>
      </c>
      <c r="L485" s="133">
        <v>0.25</v>
      </c>
      <c r="M485" s="2"/>
      <c r="N485" s="2"/>
      <c r="O485" s="2"/>
      <c r="P485" s="2"/>
      <c r="Q485" s="2"/>
      <c r="R485" s="2"/>
      <c r="S485" s="2"/>
      <c r="T485" s="2"/>
    </row>
    <row r="486" spans="1:20" customFormat="1" x14ac:dyDescent="0.3">
      <c r="A486" s="2"/>
      <c r="B486" s="2"/>
      <c r="C486" s="193"/>
      <c r="D486" s="194"/>
      <c r="E486" s="194"/>
      <c r="F486" s="194"/>
      <c r="G486" s="194"/>
      <c r="H486" s="195"/>
      <c r="I486" s="2"/>
      <c r="J486" s="100" t="s">
        <v>1550</v>
      </c>
      <c r="K486" s="140">
        <v>0.75</v>
      </c>
      <c r="L486" s="133">
        <v>0.25</v>
      </c>
      <c r="M486" s="2"/>
      <c r="N486" s="2"/>
      <c r="O486" s="2"/>
      <c r="P486" s="2"/>
      <c r="Q486" s="2"/>
      <c r="R486" s="2"/>
      <c r="S486" s="2"/>
      <c r="T486" s="2"/>
    </row>
    <row r="487" spans="1:20" customFormat="1" x14ac:dyDescent="0.3">
      <c r="A487" s="2"/>
      <c r="B487" s="2"/>
      <c r="C487" s="193"/>
      <c r="D487" s="194"/>
      <c r="E487" s="194"/>
      <c r="F487" s="194"/>
      <c r="G487" s="194"/>
      <c r="H487" s="195"/>
      <c r="I487" s="2"/>
      <c r="J487" s="100" t="s">
        <v>1574</v>
      </c>
      <c r="K487" s="140">
        <v>0.75</v>
      </c>
      <c r="L487" s="133">
        <v>0.25</v>
      </c>
      <c r="M487" s="2"/>
      <c r="N487" s="2"/>
      <c r="O487" s="2"/>
      <c r="P487" s="2"/>
      <c r="Q487" s="2"/>
      <c r="R487" s="2"/>
      <c r="S487" s="2"/>
      <c r="T487" s="2"/>
    </row>
    <row r="488" spans="1:20" customFormat="1" x14ac:dyDescent="0.3">
      <c r="A488" s="2"/>
      <c r="B488" s="2"/>
      <c r="C488" s="193"/>
      <c r="D488" s="194"/>
      <c r="E488" s="194"/>
      <c r="F488" s="194"/>
      <c r="G488" s="194"/>
      <c r="H488" s="195"/>
      <c r="I488" s="2"/>
      <c r="J488" s="100" t="s">
        <v>1693</v>
      </c>
      <c r="K488" s="140">
        <v>0.72727272727272729</v>
      </c>
      <c r="L488" s="133">
        <v>0.27272727272727271</v>
      </c>
      <c r="M488" s="2"/>
      <c r="N488" s="2"/>
      <c r="O488" s="2"/>
      <c r="P488" s="2"/>
      <c r="Q488" s="2"/>
      <c r="R488" s="2"/>
      <c r="S488" s="2"/>
      <c r="T488" s="2"/>
    </row>
    <row r="489" spans="1:20" customFormat="1" x14ac:dyDescent="0.3">
      <c r="A489" s="2"/>
      <c r="B489" s="2"/>
      <c r="C489" s="193"/>
      <c r="D489" s="194"/>
      <c r="E489" s="194"/>
      <c r="F489" s="194"/>
      <c r="G489" s="194"/>
      <c r="H489" s="195"/>
      <c r="I489" s="2"/>
      <c r="J489" s="100" t="s">
        <v>1266</v>
      </c>
      <c r="K489" s="140">
        <v>0.7142857142857143</v>
      </c>
      <c r="L489" s="133">
        <v>0.2857142857142857</v>
      </c>
      <c r="M489" s="2"/>
      <c r="N489" s="2"/>
      <c r="O489" s="2"/>
      <c r="P489" s="2"/>
      <c r="Q489" s="2"/>
      <c r="R489" s="2"/>
      <c r="S489" s="2"/>
      <c r="T489" s="2"/>
    </row>
    <row r="490" spans="1:20" customFormat="1" x14ac:dyDescent="0.3">
      <c r="A490" s="2"/>
      <c r="B490" s="2"/>
      <c r="C490" s="193"/>
      <c r="D490" s="194"/>
      <c r="E490" s="194"/>
      <c r="F490" s="194"/>
      <c r="G490" s="194"/>
      <c r="H490" s="195"/>
      <c r="I490" s="2"/>
      <c r="J490" s="100" t="s">
        <v>1650</v>
      </c>
      <c r="K490" s="140">
        <v>0.7142857142857143</v>
      </c>
      <c r="L490" s="133">
        <v>0.2857142857142857</v>
      </c>
      <c r="M490" s="2"/>
      <c r="N490" s="2"/>
      <c r="O490" s="2"/>
      <c r="P490" s="2"/>
      <c r="Q490" s="2"/>
      <c r="R490" s="2"/>
      <c r="S490" s="2"/>
      <c r="T490" s="2"/>
    </row>
    <row r="491" spans="1:20" customFormat="1" x14ac:dyDescent="0.3">
      <c r="A491" s="2"/>
      <c r="B491" s="2"/>
      <c r="C491" s="193"/>
      <c r="D491" s="194"/>
      <c r="E491" s="194"/>
      <c r="F491" s="194"/>
      <c r="G491" s="194"/>
      <c r="H491" s="195"/>
      <c r="I491" s="2"/>
      <c r="J491" s="100" t="s">
        <v>1711</v>
      </c>
      <c r="K491" s="140">
        <v>0.7142857142857143</v>
      </c>
      <c r="L491" s="133">
        <v>0.2857142857142857</v>
      </c>
      <c r="M491" s="2"/>
      <c r="N491" s="2"/>
      <c r="O491" s="2"/>
      <c r="P491" s="2"/>
      <c r="Q491" s="2"/>
      <c r="R491" s="2"/>
      <c r="S491" s="2"/>
      <c r="T491" s="2"/>
    </row>
    <row r="492" spans="1:20" customFormat="1" x14ac:dyDescent="0.3">
      <c r="A492" s="2"/>
      <c r="B492" s="2"/>
      <c r="C492" s="193"/>
      <c r="D492" s="194"/>
      <c r="E492" s="194"/>
      <c r="F492" s="194"/>
      <c r="G492" s="194"/>
      <c r="H492" s="195"/>
      <c r="I492" s="2"/>
      <c r="J492" s="100" t="s">
        <v>1387</v>
      </c>
      <c r="K492" s="140">
        <v>0.7142857142857143</v>
      </c>
      <c r="L492" s="133">
        <v>0.2857142857142857</v>
      </c>
      <c r="M492" s="2"/>
      <c r="N492" s="2"/>
      <c r="O492" s="2"/>
      <c r="P492" s="2"/>
      <c r="Q492" s="2"/>
      <c r="R492" s="2"/>
      <c r="S492" s="2"/>
      <c r="T492" s="2"/>
    </row>
    <row r="493" spans="1:20" customFormat="1" x14ac:dyDescent="0.3">
      <c r="A493" s="2"/>
      <c r="B493" s="2"/>
      <c r="C493" s="193"/>
      <c r="D493" s="194"/>
      <c r="E493" s="194"/>
      <c r="F493" s="194"/>
      <c r="G493" s="194"/>
      <c r="H493" s="195"/>
      <c r="I493" s="2"/>
      <c r="J493" s="100" t="s">
        <v>1540</v>
      </c>
      <c r="K493" s="140">
        <v>0.7142857142857143</v>
      </c>
      <c r="L493" s="133">
        <v>0.2857142857142857</v>
      </c>
      <c r="M493" s="2"/>
      <c r="N493" s="2"/>
      <c r="O493" s="2"/>
      <c r="P493" s="2"/>
      <c r="Q493" s="2"/>
      <c r="R493" s="2"/>
      <c r="S493" s="2"/>
      <c r="T493" s="2"/>
    </row>
    <row r="494" spans="1:20" customFormat="1" x14ac:dyDescent="0.3">
      <c r="A494" s="2"/>
      <c r="B494" s="2"/>
      <c r="C494" s="193"/>
      <c r="D494" s="194"/>
      <c r="E494" s="194"/>
      <c r="F494" s="194"/>
      <c r="G494" s="194"/>
      <c r="H494" s="195"/>
      <c r="I494" s="2"/>
      <c r="J494" s="100" t="s">
        <v>1306</v>
      </c>
      <c r="K494" s="140">
        <v>0.66666666666666663</v>
      </c>
      <c r="L494" s="133">
        <v>0.33333333333333331</v>
      </c>
      <c r="M494" s="2"/>
      <c r="N494" s="2"/>
      <c r="O494" s="2"/>
      <c r="P494" s="2"/>
      <c r="Q494" s="2"/>
      <c r="R494" s="2"/>
      <c r="S494" s="2"/>
      <c r="T494" s="2"/>
    </row>
    <row r="495" spans="1:20" customFormat="1" x14ac:dyDescent="0.3">
      <c r="A495" s="2"/>
      <c r="B495" s="2"/>
      <c r="C495" s="193"/>
      <c r="D495" s="194"/>
      <c r="E495" s="194"/>
      <c r="F495" s="194"/>
      <c r="G495" s="194"/>
      <c r="H495" s="195"/>
      <c r="I495" s="2"/>
      <c r="J495" s="100" t="s">
        <v>1696</v>
      </c>
      <c r="K495" s="140">
        <v>0.66666666666666663</v>
      </c>
      <c r="L495" s="133">
        <v>0.33333333333333331</v>
      </c>
      <c r="M495" s="2"/>
      <c r="N495" s="2"/>
      <c r="O495" s="2"/>
      <c r="P495" s="2"/>
      <c r="Q495" s="2"/>
      <c r="R495" s="2"/>
      <c r="S495" s="2"/>
      <c r="T495" s="2"/>
    </row>
    <row r="496" spans="1:20" customFormat="1" x14ac:dyDescent="0.3">
      <c r="A496" s="2"/>
      <c r="B496" s="2"/>
      <c r="C496" s="193"/>
      <c r="D496" s="194"/>
      <c r="E496" s="194"/>
      <c r="F496" s="194"/>
      <c r="G496" s="194"/>
      <c r="H496" s="195"/>
      <c r="I496" s="2"/>
      <c r="J496" s="100" t="s">
        <v>1496</v>
      </c>
      <c r="K496" s="140">
        <v>0.66666666666666663</v>
      </c>
      <c r="L496" s="133">
        <v>0.33333333333333331</v>
      </c>
      <c r="M496" s="2"/>
      <c r="N496" s="2"/>
      <c r="O496" s="2"/>
      <c r="P496" s="2"/>
      <c r="Q496" s="2"/>
      <c r="R496" s="2"/>
      <c r="S496" s="2"/>
      <c r="T496" s="2"/>
    </row>
    <row r="497" spans="1:20" customFormat="1" x14ac:dyDescent="0.3">
      <c r="A497" s="2"/>
      <c r="B497" s="2"/>
      <c r="C497" s="193"/>
      <c r="D497" s="194"/>
      <c r="E497" s="194"/>
      <c r="F497" s="194"/>
      <c r="G497" s="194"/>
      <c r="H497" s="195"/>
      <c r="I497" s="2"/>
      <c r="J497" s="100" t="s">
        <v>1440</v>
      </c>
      <c r="K497" s="140">
        <v>0.66666666666666663</v>
      </c>
      <c r="L497" s="133">
        <v>0.33333333333333331</v>
      </c>
      <c r="M497" s="2"/>
      <c r="N497" s="2"/>
      <c r="O497" s="2"/>
      <c r="P497" s="2"/>
      <c r="Q497" s="2"/>
      <c r="R497" s="2"/>
      <c r="S497" s="2"/>
      <c r="T497" s="2"/>
    </row>
    <row r="498" spans="1:20" customFormat="1" x14ac:dyDescent="0.3">
      <c r="A498" s="2"/>
      <c r="B498" s="2"/>
      <c r="C498" s="193"/>
      <c r="D498" s="194"/>
      <c r="E498" s="194"/>
      <c r="F498" s="194"/>
      <c r="G498" s="194"/>
      <c r="H498" s="195"/>
      <c r="I498" s="2"/>
      <c r="J498" s="100" t="s">
        <v>1426</v>
      </c>
      <c r="K498" s="140">
        <v>0.66666666666666663</v>
      </c>
      <c r="L498" s="133">
        <v>0.33333333333333331</v>
      </c>
      <c r="M498" s="2"/>
      <c r="N498" s="2"/>
      <c r="O498" s="2"/>
      <c r="P498" s="2"/>
      <c r="Q498" s="2"/>
      <c r="R498" s="2"/>
      <c r="S498" s="2"/>
      <c r="T498" s="2"/>
    </row>
    <row r="499" spans="1:20" customFormat="1" x14ac:dyDescent="0.3">
      <c r="A499" s="2"/>
      <c r="B499" s="2"/>
      <c r="C499" s="196"/>
      <c r="D499" s="197"/>
      <c r="E499" s="197"/>
      <c r="F499" s="197"/>
      <c r="G499" s="197"/>
      <c r="H499" s="198"/>
      <c r="I499" s="2"/>
      <c r="J499" s="100" t="s">
        <v>1297</v>
      </c>
      <c r="K499" s="140">
        <v>0.66666666666666663</v>
      </c>
      <c r="L499" s="133">
        <v>0.33333333333333331</v>
      </c>
      <c r="M499" s="2"/>
      <c r="N499" s="2"/>
      <c r="O499" s="2"/>
      <c r="P499" s="2"/>
      <c r="Q499" s="2"/>
      <c r="R499" s="2"/>
      <c r="S499" s="2"/>
      <c r="T499" s="2"/>
    </row>
    <row r="500" spans="1:20" customFormat="1" x14ac:dyDescent="0.3">
      <c r="A500" s="2"/>
      <c r="B500" s="2"/>
      <c r="C500" s="2"/>
      <c r="D500" s="2"/>
      <c r="E500" s="2"/>
      <c r="F500" s="2"/>
      <c r="G500" s="2"/>
      <c r="H500" s="2"/>
      <c r="I500" s="2"/>
      <c r="J500" s="100" t="s">
        <v>1475</v>
      </c>
      <c r="K500" s="140">
        <v>0.66666666666666663</v>
      </c>
      <c r="L500" s="133">
        <v>0.33333333333333331</v>
      </c>
      <c r="M500" s="2"/>
      <c r="N500" s="2"/>
      <c r="O500" s="2"/>
      <c r="P500" s="2"/>
      <c r="Q500" s="2"/>
      <c r="R500" s="2"/>
      <c r="S500" s="2"/>
      <c r="T500" s="2"/>
    </row>
    <row r="501" spans="1:20" customFormat="1" x14ac:dyDescent="0.3">
      <c r="A501" s="2"/>
      <c r="B501" s="2"/>
      <c r="C501" s="2"/>
      <c r="D501" s="2"/>
      <c r="E501" s="2"/>
      <c r="F501" s="2"/>
      <c r="G501" s="2"/>
      <c r="H501" s="2"/>
      <c r="I501" s="2"/>
      <c r="J501" s="100" t="s">
        <v>1718</v>
      </c>
      <c r="K501" s="140">
        <v>0.66666666666666663</v>
      </c>
      <c r="L501" s="133">
        <v>0.33333333333333331</v>
      </c>
      <c r="M501" s="2"/>
      <c r="N501" s="2"/>
      <c r="O501" s="2"/>
      <c r="P501" s="2"/>
      <c r="Q501" s="2"/>
      <c r="R501" s="2"/>
      <c r="S501" s="2"/>
      <c r="T501" s="2"/>
    </row>
    <row r="502" spans="1:20" customFormat="1" x14ac:dyDescent="0.3">
      <c r="A502" s="2"/>
      <c r="B502" s="2"/>
      <c r="C502" s="2"/>
      <c r="D502" s="2"/>
      <c r="E502" s="2"/>
      <c r="F502" s="2"/>
      <c r="G502" s="2"/>
      <c r="H502" s="2"/>
      <c r="I502" s="2"/>
      <c r="J502" s="100" t="s">
        <v>1380</v>
      </c>
      <c r="K502" s="140">
        <v>0.625</v>
      </c>
      <c r="L502" s="133">
        <v>0.375</v>
      </c>
      <c r="M502" s="2"/>
      <c r="N502" s="2"/>
      <c r="O502" s="2"/>
      <c r="P502" s="2"/>
      <c r="Q502" s="2"/>
      <c r="R502" s="2"/>
      <c r="S502" s="2"/>
      <c r="T502" s="2"/>
    </row>
    <row r="503" spans="1:20" customFormat="1" x14ac:dyDescent="0.3">
      <c r="A503" s="2"/>
      <c r="B503" s="2"/>
      <c r="C503" s="2"/>
      <c r="D503" s="2"/>
      <c r="E503" s="2"/>
      <c r="F503" s="2"/>
      <c r="G503" s="2"/>
      <c r="H503" s="2"/>
      <c r="I503" s="2"/>
      <c r="J503" s="100" t="s">
        <v>1569</v>
      </c>
      <c r="K503" s="140">
        <v>0.625</v>
      </c>
      <c r="L503" s="133">
        <v>0.375</v>
      </c>
      <c r="M503" s="2"/>
      <c r="N503" s="2"/>
      <c r="O503" s="2"/>
      <c r="P503" s="2"/>
      <c r="Q503" s="2"/>
      <c r="R503" s="2"/>
      <c r="S503" s="2"/>
      <c r="T503" s="2"/>
    </row>
    <row r="504" spans="1:20" customFormat="1" x14ac:dyDescent="0.3">
      <c r="A504" s="2"/>
      <c r="B504" s="2"/>
      <c r="C504" s="2"/>
      <c r="D504" s="54"/>
      <c r="E504" s="2"/>
      <c r="F504" s="2"/>
      <c r="G504" s="2"/>
      <c r="H504" s="2"/>
      <c r="I504" s="2"/>
      <c r="J504" s="100" t="s">
        <v>1742</v>
      </c>
      <c r="K504" s="140">
        <v>0.625</v>
      </c>
      <c r="L504" s="133">
        <v>0.375</v>
      </c>
      <c r="M504" s="2"/>
      <c r="N504" s="2"/>
      <c r="O504" s="2"/>
      <c r="P504" s="2"/>
      <c r="Q504" s="2"/>
      <c r="R504" s="2"/>
      <c r="S504" s="2"/>
      <c r="T504" s="2"/>
    </row>
    <row r="505" spans="1:20" customFormat="1" ht="28.8" x14ac:dyDescent="0.3">
      <c r="A505" s="2"/>
      <c r="B505" s="104" t="s">
        <v>1770</v>
      </c>
      <c r="C505" s="105" t="s">
        <v>1779</v>
      </c>
      <c r="D505" s="145" t="s">
        <v>1845</v>
      </c>
      <c r="E505" s="2"/>
      <c r="F505" s="2"/>
      <c r="G505" s="2"/>
      <c r="H505" s="2"/>
      <c r="I505" s="2"/>
      <c r="J505" s="100" t="s">
        <v>1514</v>
      </c>
      <c r="K505" s="140">
        <v>0.625</v>
      </c>
      <c r="L505" s="133">
        <v>0.375</v>
      </c>
      <c r="M505" s="2"/>
      <c r="N505" s="2"/>
      <c r="O505" s="2"/>
      <c r="P505" s="2"/>
      <c r="Q505" s="2"/>
      <c r="R505" s="2"/>
      <c r="S505" s="2"/>
      <c r="T505" s="2"/>
    </row>
    <row r="506" spans="1:20" customFormat="1" x14ac:dyDescent="0.3">
      <c r="A506" s="2"/>
      <c r="B506" s="100" t="s">
        <v>1771</v>
      </c>
      <c r="C506">
        <v>251</v>
      </c>
      <c r="D506" s="133">
        <v>0.39403453689167978</v>
      </c>
      <c r="E506" s="2"/>
      <c r="F506" s="2"/>
      <c r="G506" s="2"/>
      <c r="H506" s="2"/>
      <c r="I506" s="2"/>
      <c r="J506" s="100" t="s">
        <v>1501</v>
      </c>
      <c r="K506" s="140">
        <v>0.6</v>
      </c>
      <c r="L506" s="133">
        <v>0.4</v>
      </c>
      <c r="M506" s="2"/>
      <c r="N506" s="2"/>
      <c r="O506" s="2"/>
      <c r="P506" s="2"/>
      <c r="Q506" s="2"/>
      <c r="R506" s="2"/>
      <c r="S506" s="2"/>
      <c r="T506" s="2"/>
    </row>
    <row r="507" spans="1:20" customFormat="1" x14ac:dyDescent="0.3">
      <c r="A507" s="2"/>
      <c r="B507" s="100" t="s">
        <v>1772</v>
      </c>
      <c r="C507">
        <v>160</v>
      </c>
      <c r="D507" s="133">
        <v>0.25117739403453687</v>
      </c>
      <c r="E507" s="2"/>
      <c r="F507" s="2"/>
      <c r="G507" s="2"/>
      <c r="H507" s="2"/>
      <c r="I507" s="2"/>
      <c r="J507" s="100" t="s">
        <v>1686</v>
      </c>
      <c r="K507" s="140">
        <v>0.6</v>
      </c>
      <c r="L507" s="133">
        <v>0.4</v>
      </c>
      <c r="M507" s="2"/>
      <c r="N507" s="2"/>
      <c r="O507" s="2"/>
      <c r="P507" s="2"/>
      <c r="Q507" s="2"/>
      <c r="R507" s="2"/>
      <c r="S507" s="2"/>
      <c r="T507" s="2"/>
    </row>
    <row r="508" spans="1:20" customFormat="1" x14ac:dyDescent="0.3">
      <c r="A508" s="2"/>
      <c r="B508" s="100" t="s">
        <v>1773</v>
      </c>
      <c r="C508">
        <v>60</v>
      </c>
      <c r="D508" s="133">
        <v>9.4191522762951341E-2</v>
      </c>
      <c r="E508" s="2"/>
      <c r="F508" s="2"/>
      <c r="G508" s="2"/>
      <c r="H508" s="2"/>
      <c r="I508" s="2"/>
      <c r="J508" s="100" t="s">
        <v>1633</v>
      </c>
      <c r="K508" s="140">
        <v>0.6</v>
      </c>
      <c r="L508" s="133">
        <v>0.4</v>
      </c>
      <c r="M508" s="2"/>
      <c r="N508" s="2"/>
      <c r="O508" s="2"/>
      <c r="P508" s="2"/>
      <c r="Q508" s="2"/>
      <c r="R508" s="2"/>
      <c r="S508" s="2"/>
      <c r="T508" s="2"/>
    </row>
    <row r="509" spans="1:20" customFormat="1" x14ac:dyDescent="0.3">
      <c r="A509" s="2"/>
      <c r="B509" s="100" t="s">
        <v>1775</v>
      </c>
      <c r="C509">
        <v>58</v>
      </c>
      <c r="D509" s="133">
        <v>9.1051805337519623E-2</v>
      </c>
      <c r="E509" s="2"/>
      <c r="F509" s="2"/>
      <c r="G509" s="2"/>
      <c r="H509" s="2"/>
      <c r="I509" s="2"/>
      <c r="J509" s="100" t="s">
        <v>1533</v>
      </c>
      <c r="K509" s="140">
        <v>0.6</v>
      </c>
      <c r="L509" s="133">
        <v>0.4</v>
      </c>
      <c r="M509" s="2"/>
      <c r="N509" s="2"/>
      <c r="O509" s="2"/>
      <c r="P509" s="2"/>
      <c r="Q509" s="2"/>
      <c r="R509" s="2"/>
      <c r="S509" s="2"/>
      <c r="T509" s="2"/>
    </row>
    <row r="510" spans="1:20" customFormat="1" x14ac:dyDescent="0.3">
      <c r="A510" s="2"/>
      <c r="B510" s="100" t="s">
        <v>1774</v>
      </c>
      <c r="C510">
        <v>56</v>
      </c>
      <c r="D510" s="133">
        <v>8.7912087912087919E-2</v>
      </c>
      <c r="E510" s="2"/>
      <c r="F510" s="2"/>
      <c r="G510" s="2"/>
      <c r="H510" s="2"/>
      <c r="I510" s="2"/>
      <c r="J510" s="100" t="s">
        <v>1350</v>
      </c>
      <c r="K510" s="140">
        <v>0.6</v>
      </c>
      <c r="L510" s="133">
        <v>0.4</v>
      </c>
      <c r="M510" s="2"/>
      <c r="N510" s="2"/>
      <c r="O510" s="2"/>
      <c r="P510" s="2"/>
      <c r="Q510" s="2"/>
      <c r="R510" s="2"/>
      <c r="S510" s="2"/>
      <c r="T510" s="2"/>
    </row>
    <row r="511" spans="1:20" customFormat="1" x14ac:dyDescent="0.3">
      <c r="A511" s="2"/>
      <c r="B511" s="100" t="s">
        <v>1776</v>
      </c>
      <c r="C511">
        <v>27</v>
      </c>
      <c r="D511" s="133">
        <v>4.2386185243328101E-2</v>
      </c>
      <c r="E511" s="2"/>
      <c r="F511" s="2"/>
      <c r="G511" s="2"/>
      <c r="H511" s="2"/>
      <c r="I511" s="2"/>
      <c r="J511" s="100" t="s">
        <v>1286</v>
      </c>
      <c r="K511" s="140">
        <v>0.5714285714285714</v>
      </c>
      <c r="L511" s="133">
        <v>0.42857142857142855</v>
      </c>
      <c r="M511" s="2"/>
      <c r="N511" s="2"/>
      <c r="O511" s="2"/>
      <c r="P511" s="2"/>
      <c r="Q511" s="2"/>
      <c r="R511" s="2"/>
      <c r="S511" s="2"/>
      <c r="T511" s="2"/>
    </row>
    <row r="512" spans="1:20" customFormat="1" x14ac:dyDescent="0.3">
      <c r="A512" s="2"/>
      <c r="B512" s="100" t="s">
        <v>1777</v>
      </c>
      <c r="C512">
        <v>16</v>
      </c>
      <c r="D512" s="133">
        <v>2.5117739403453691E-2</v>
      </c>
      <c r="E512" s="2"/>
      <c r="F512" s="2"/>
      <c r="G512" s="2"/>
      <c r="H512" s="2"/>
      <c r="I512" s="2"/>
      <c r="J512" s="100" t="s">
        <v>1683</v>
      </c>
      <c r="K512" s="140">
        <v>0.5714285714285714</v>
      </c>
      <c r="L512" s="133">
        <v>0.42857142857142855</v>
      </c>
      <c r="M512" s="2"/>
      <c r="N512" s="2"/>
      <c r="O512" s="2"/>
      <c r="P512" s="2"/>
      <c r="Q512" s="2"/>
      <c r="R512" s="2"/>
      <c r="S512" s="2"/>
      <c r="T512" s="2"/>
    </row>
    <row r="513" spans="1:20" customFormat="1" x14ac:dyDescent="0.3">
      <c r="A513" s="2"/>
      <c r="B513" s="100" t="s">
        <v>1778</v>
      </c>
      <c r="C513">
        <v>9</v>
      </c>
      <c r="D513" s="133">
        <v>1.4128728414442701E-2</v>
      </c>
      <c r="E513" s="2"/>
      <c r="F513" s="2"/>
      <c r="G513" s="2"/>
      <c r="H513" s="2"/>
      <c r="I513" s="2"/>
      <c r="J513" s="100" t="s">
        <v>1404</v>
      </c>
      <c r="K513" s="140">
        <v>0.55555555555555558</v>
      </c>
      <c r="L513" s="133">
        <v>0.44444444444444442</v>
      </c>
      <c r="M513" s="2"/>
      <c r="N513" s="2"/>
      <c r="O513" s="2"/>
      <c r="P513" s="2"/>
      <c r="Q513" s="2"/>
      <c r="R513" s="2"/>
      <c r="S513" s="2"/>
      <c r="T513" s="2"/>
    </row>
    <row r="514" spans="1:20" customFormat="1" x14ac:dyDescent="0.3">
      <c r="A514" s="2"/>
      <c r="B514" s="50" t="s">
        <v>1139</v>
      </c>
      <c r="C514" s="105">
        <v>637</v>
      </c>
      <c r="D514" s="105">
        <v>0.125</v>
      </c>
      <c r="E514" s="2"/>
      <c r="F514" s="2"/>
      <c r="G514" s="2"/>
      <c r="H514" s="2"/>
      <c r="I514" s="2"/>
      <c r="J514" s="100" t="s">
        <v>1612</v>
      </c>
      <c r="K514" s="140">
        <v>0.55555555555555558</v>
      </c>
      <c r="L514" s="133">
        <v>0.44444444444444442</v>
      </c>
      <c r="M514" s="2"/>
      <c r="N514" s="2"/>
      <c r="O514" s="2"/>
      <c r="P514" s="2"/>
      <c r="Q514" s="2"/>
      <c r="R514" s="2"/>
      <c r="S514" s="2"/>
      <c r="T514" s="2"/>
    </row>
    <row r="515" spans="1:20" customFormat="1" x14ac:dyDescent="0.3">
      <c r="A515" s="2"/>
      <c r="B515" s="2"/>
      <c r="C515" s="2"/>
      <c r="D515" s="2"/>
      <c r="E515" s="2"/>
      <c r="F515" s="2"/>
      <c r="G515" s="2"/>
      <c r="H515" s="2"/>
      <c r="I515" s="2"/>
      <c r="J515" s="100" t="s">
        <v>1255</v>
      </c>
      <c r="K515" s="140">
        <v>0.55555555555555558</v>
      </c>
      <c r="L515" s="133">
        <v>0.44444444444444442</v>
      </c>
      <c r="M515" s="2"/>
      <c r="N515" s="2"/>
      <c r="O515" s="2"/>
      <c r="P515" s="2"/>
      <c r="Q515" s="2"/>
      <c r="R515" s="2"/>
      <c r="S515" s="2"/>
      <c r="T515" s="2"/>
    </row>
    <row r="516" spans="1:20" customFormat="1" x14ac:dyDescent="0.3">
      <c r="A516" s="2"/>
      <c r="B516" s="181" t="s">
        <v>1859</v>
      </c>
      <c r="C516" s="182"/>
      <c r="D516" s="182"/>
      <c r="E516" s="2"/>
      <c r="F516" s="2"/>
      <c r="G516" s="2"/>
      <c r="H516" s="2"/>
      <c r="I516" s="2"/>
      <c r="J516" s="100" t="s">
        <v>1504</v>
      </c>
      <c r="K516" s="140">
        <v>0.53846153846153844</v>
      </c>
      <c r="L516" s="133">
        <v>0.46153846153846156</v>
      </c>
      <c r="M516" s="2"/>
      <c r="N516" s="2"/>
      <c r="O516" s="2"/>
      <c r="P516" s="2"/>
      <c r="Q516" s="2"/>
      <c r="R516" s="2"/>
      <c r="S516" s="2"/>
      <c r="T516" s="2"/>
    </row>
    <row r="517" spans="1:20" customFormat="1" x14ac:dyDescent="0.3">
      <c r="A517" s="2"/>
      <c r="B517" s="184"/>
      <c r="C517" s="185"/>
      <c r="D517" s="185"/>
      <c r="E517" s="2"/>
      <c r="F517" s="2"/>
      <c r="G517" s="2"/>
      <c r="H517" s="2"/>
      <c r="I517" s="2"/>
      <c r="J517" s="100" t="s">
        <v>1394</v>
      </c>
      <c r="K517" s="140">
        <v>0.46153846153846156</v>
      </c>
      <c r="L517" s="133">
        <v>0.53846153846153844</v>
      </c>
      <c r="M517" s="2"/>
      <c r="N517" s="2"/>
      <c r="O517" s="2"/>
      <c r="P517" s="2"/>
      <c r="Q517" s="2"/>
      <c r="R517" s="2"/>
      <c r="S517" s="2"/>
      <c r="T517" s="2"/>
    </row>
    <row r="518" spans="1:20" customFormat="1" x14ac:dyDescent="0.3">
      <c r="A518" s="2"/>
      <c r="B518" s="187"/>
      <c r="C518" s="188"/>
      <c r="D518" s="188"/>
      <c r="E518" s="2"/>
      <c r="F518" s="2"/>
      <c r="G518" s="2"/>
      <c r="H518" s="2"/>
      <c r="I518" s="2"/>
      <c r="J518" s="100" t="s">
        <v>1433</v>
      </c>
      <c r="K518" s="140">
        <v>0.45454545454545453</v>
      </c>
      <c r="L518" s="133">
        <v>0.54545454545454541</v>
      </c>
      <c r="M518" s="2"/>
      <c r="N518" s="2"/>
      <c r="O518" s="2"/>
      <c r="P518" s="2"/>
      <c r="Q518" s="2"/>
      <c r="R518" s="2"/>
      <c r="S518" s="2"/>
      <c r="T518" s="2"/>
    </row>
    <row r="519" spans="1:20" customFormat="1" x14ac:dyDescent="0.3">
      <c r="A519" s="2"/>
      <c r="B519" s="2"/>
      <c r="C519" s="2"/>
      <c r="D519" s="2"/>
      <c r="E519" s="2"/>
      <c r="F519" s="2"/>
      <c r="G519" s="2"/>
      <c r="H519" s="2"/>
      <c r="I519" s="2"/>
      <c r="J519" s="100" t="s">
        <v>1448</v>
      </c>
      <c r="K519" s="140">
        <v>0.42857142857142855</v>
      </c>
      <c r="L519" s="133">
        <v>0.5714285714285714</v>
      </c>
      <c r="M519" s="2"/>
      <c r="N519" s="2"/>
      <c r="O519" s="2"/>
      <c r="P519" s="2"/>
      <c r="Q519" s="2"/>
      <c r="R519" s="2"/>
      <c r="S519" s="2"/>
      <c r="T519" s="2"/>
    </row>
    <row r="520" spans="1:20" customFormat="1" x14ac:dyDescent="0.3">
      <c r="A520" s="2"/>
      <c r="B520" s="2"/>
      <c r="C520" s="2"/>
      <c r="D520" s="2"/>
      <c r="E520" s="2"/>
      <c r="F520" s="2"/>
      <c r="G520" s="2"/>
      <c r="H520" s="2"/>
      <c r="I520" s="2"/>
      <c r="J520" s="100" t="s">
        <v>1597</v>
      </c>
      <c r="K520" s="140">
        <v>0.4</v>
      </c>
      <c r="L520" s="133">
        <v>0.6</v>
      </c>
      <c r="M520" s="2"/>
      <c r="N520" s="2"/>
      <c r="O520" s="2"/>
      <c r="P520" s="2"/>
      <c r="Q520" s="2"/>
      <c r="R520" s="2"/>
      <c r="S520" s="2"/>
      <c r="T520" s="2"/>
    </row>
    <row r="521" spans="1:20" customFormat="1" x14ac:dyDescent="0.3">
      <c r="A521" s="2"/>
      <c r="B521" s="292" t="s">
        <v>1860</v>
      </c>
      <c r="C521" s="204"/>
      <c r="D521" s="204"/>
      <c r="E521" s="2"/>
      <c r="F521" s="2"/>
      <c r="G521" s="2"/>
      <c r="H521" s="2"/>
      <c r="I521" s="2"/>
      <c r="J521" s="100" t="s">
        <v>1545</v>
      </c>
      <c r="K521" s="140">
        <v>0.4</v>
      </c>
      <c r="L521" s="133">
        <v>0.6</v>
      </c>
      <c r="M521" s="2"/>
      <c r="N521" s="2"/>
      <c r="O521" s="2"/>
      <c r="P521" s="2"/>
      <c r="Q521" s="2"/>
      <c r="R521" s="2"/>
      <c r="S521" s="2"/>
      <c r="T521" s="2"/>
    </row>
    <row r="522" spans="1:20" customFormat="1" x14ac:dyDescent="0.3">
      <c r="A522" s="2"/>
      <c r="B522" s="204"/>
      <c r="C522" s="204"/>
      <c r="D522" s="204"/>
      <c r="E522" s="2"/>
      <c r="F522" s="2"/>
      <c r="G522" s="2"/>
      <c r="H522" s="2"/>
      <c r="I522" s="2"/>
      <c r="J522" s="100" t="s">
        <v>1716</v>
      </c>
      <c r="K522" s="140">
        <v>0.4</v>
      </c>
      <c r="L522" s="133">
        <v>0.6</v>
      </c>
      <c r="M522" s="2"/>
      <c r="N522" s="2"/>
      <c r="O522" s="2"/>
      <c r="P522" s="2"/>
      <c r="Q522" s="2"/>
      <c r="R522" s="2"/>
      <c r="S522" s="2"/>
      <c r="T522" s="2"/>
    </row>
    <row r="523" spans="1:20" customFormat="1" x14ac:dyDescent="0.3">
      <c r="A523" s="2"/>
      <c r="B523" s="204"/>
      <c r="C523" s="204"/>
      <c r="D523" s="204"/>
      <c r="E523" s="2"/>
      <c r="F523" s="2"/>
      <c r="G523" s="2"/>
      <c r="H523" s="2"/>
      <c r="I523" s="2"/>
      <c r="J523" s="100" t="s">
        <v>1335</v>
      </c>
      <c r="K523" s="140">
        <v>0.375</v>
      </c>
      <c r="L523" s="133">
        <v>0.625</v>
      </c>
      <c r="M523" s="2"/>
      <c r="N523" s="2"/>
      <c r="O523" s="2"/>
      <c r="P523" s="2"/>
      <c r="Q523" s="2"/>
      <c r="R523" s="2"/>
      <c r="S523" s="2"/>
      <c r="T523" s="2"/>
    </row>
    <row r="524" spans="1:20" customFormat="1" x14ac:dyDescent="0.3">
      <c r="A524" s="2"/>
      <c r="B524" s="204"/>
      <c r="C524" s="204"/>
      <c r="D524" s="204"/>
      <c r="E524" s="2"/>
      <c r="F524" s="2"/>
      <c r="G524" s="2"/>
      <c r="H524" s="2"/>
      <c r="I524" s="2"/>
      <c r="J524" s="100" t="s">
        <v>1410</v>
      </c>
      <c r="K524" s="140">
        <v>0.33333333333333331</v>
      </c>
      <c r="L524" s="133">
        <v>0.66666666666666663</v>
      </c>
      <c r="M524" s="2"/>
      <c r="N524" s="2"/>
      <c r="O524" s="2"/>
      <c r="P524" s="2"/>
      <c r="Q524" s="2"/>
      <c r="R524" s="2"/>
      <c r="S524" s="2"/>
      <c r="T524" s="2"/>
    </row>
    <row r="525" spans="1:20" customFormat="1" x14ac:dyDescent="0.3">
      <c r="A525" s="2"/>
      <c r="B525" s="204"/>
      <c r="C525" s="204"/>
      <c r="D525" s="204"/>
      <c r="E525" s="2"/>
      <c r="F525" s="2"/>
      <c r="G525" s="2"/>
      <c r="H525" s="2"/>
      <c r="I525" s="2"/>
      <c r="J525" s="100" t="s">
        <v>1222</v>
      </c>
      <c r="K525" s="140">
        <v>0.33333333333333331</v>
      </c>
      <c r="L525" s="133">
        <v>0.66666666666666663</v>
      </c>
      <c r="M525" s="2"/>
      <c r="N525" s="2"/>
      <c r="O525" s="2"/>
      <c r="P525" s="2"/>
      <c r="Q525" s="2"/>
      <c r="R525" s="2"/>
      <c r="S525" s="2"/>
      <c r="T525" s="2"/>
    </row>
    <row r="526" spans="1:20" customFormat="1" x14ac:dyDescent="0.3">
      <c r="A526" s="2"/>
      <c r="B526" s="204"/>
      <c r="C526" s="204"/>
      <c r="D526" s="204"/>
      <c r="E526" s="2"/>
      <c r="F526" s="2"/>
      <c r="G526" s="2"/>
      <c r="H526" s="2"/>
      <c r="I526" s="2"/>
      <c r="J526" s="100" t="s">
        <v>1454</v>
      </c>
      <c r="K526" s="140">
        <v>0.33333333333333331</v>
      </c>
      <c r="L526" s="133">
        <v>0.66666666666666663</v>
      </c>
      <c r="M526" s="2"/>
      <c r="N526" s="181" t="s">
        <v>1847</v>
      </c>
      <c r="O526" s="182"/>
      <c r="P526" s="182"/>
      <c r="Q526" s="182"/>
      <c r="R526" s="182"/>
      <c r="S526" s="183"/>
      <c r="T526" s="2"/>
    </row>
    <row r="527" spans="1:20" customFormat="1" x14ac:dyDescent="0.3">
      <c r="A527" s="2"/>
      <c r="B527" s="204"/>
      <c r="C527" s="204"/>
      <c r="D527" s="204"/>
      <c r="E527" s="2"/>
      <c r="F527" s="2"/>
      <c r="G527" s="2"/>
      <c r="H527" s="2"/>
      <c r="I527" s="2"/>
      <c r="J527" s="100" t="s">
        <v>1740</v>
      </c>
      <c r="K527" s="140">
        <v>0.33333333333333331</v>
      </c>
      <c r="L527" s="133">
        <v>0.66666666666666663</v>
      </c>
      <c r="M527" s="2"/>
      <c r="N527" s="184"/>
      <c r="O527" s="185"/>
      <c r="P527" s="185"/>
      <c r="Q527" s="185"/>
      <c r="R527" s="185"/>
      <c r="S527" s="186"/>
      <c r="T527" s="2"/>
    </row>
    <row r="528" spans="1:20" customFormat="1" x14ac:dyDescent="0.3">
      <c r="A528" s="2"/>
      <c r="B528" s="204"/>
      <c r="C528" s="204"/>
      <c r="D528" s="204"/>
      <c r="E528" s="2"/>
      <c r="F528" s="2"/>
      <c r="G528" s="2"/>
      <c r="H528" s="2"/>
      <c r="I528" s="2"/>
      <c r="J528" s="100" t="s">
        <v>1341</v>
      </c>
      <c r="K528" s="140">
        <v>0.33333333333333331</v>
      </c>
      <c r="L528" s="133">
        <v>0.66666666666666663</v>
      </c>
      <c r="M528" s="2"/>
      <c r="N528" s="187"/>
      <c r="O528" s="188"/>
      <c r="P528" s="188"/>
      <c r="Q528" s="188"/>
      <c r="R528" s="188"/>
      <c r="S528" s="189"/>
      <c r="T528" s="2"/>
    </row>
    <row r="529" spans="1:20" customFormat="1" x14ac:dyDescent="0.3">
      <c r="A529" s="2"/>
      <c r="B529" s="204"/>
      <c r="C529" s="204"/>
      <c r="D529" s="204"/>
      <c r="E529" s="2"/>
      <c r="F529" s="2"/>
      <c r="G529" s="2"/>
      <c r="H529" s="2"/>
      <c r="I529" s="2"/>
      <c r="J529" s="100" t="s">
        <v>1672</v>
      </c>
      <c r="K529" s="140">
        <v>0.33333333333333331</v>
      </c>
      <c r="L529" s="133">
        <v>0.66666666666666663</v>
      </c>
      <c r="M529" s="2"/>
      <c r="N529" s="2"/>
      <c r="O529" s="2"/>
      <c r="P529" s="2"/>
      <c r="Q529" s="2"/>
      <c r="R529" s="2"/>
      <c r="S529" s="2"/>
      <c r="T529" s="2"/>
    </row>
    <row r="530" spans="1:20" customFormat="1" x14ac:dyDescent="0.3">
      <c r="A530" s="2"/>
      <c r="B530" s="204"/>
      <c r="C530" s="204"/>
      <c r="D530" s="204"/>
      <c r="E530" s="2"/>
      <c r="F530" s="2"/>
      <c r="G530" s="2"/>
      <c r="H530" s="2"/>
      <c r="I530" s="2"/>
      <c r="J530" s="100" t="s">
        <v>1642</v>
      </c>
      <c r="K530" s="140">
        <v>0.33333333333333331</v>
      </c>
      <c r="L530" s="133">
        <v>0.66666666666666663</v>
      </c>
      <c r="M530" s="2"/>
      <c r="N530" s="2"/>
      <c r="O530" s="2"/>
      <c r="P530" s="2"/>
      <c r="Q530" s="2"/>
      <c r="R530" s="2"/>
      <c r="S530" s="2"/>
      <c r="T530" s="2"/>
    </row>
    <row r="531" spans="1:20" customFormat="1" ht="14.4" customHeight="1" x14ac:dyDescent="0.3">
      <c r="A531" s="2"/>
      <c r="B531" s="204"/>
      <c r="C531" s="204"/>
      <c r="D531" s="204"/>
      <c r="E531" s="2"/>
      <c r="F531" s="2"/>
      <c r="G531" s="2"/>
      <c r="H531" s="2"/>
      <c r="I531" s="2"/>
      <c r="J531" s="100" t="s">
        <v>1557</v>
      </c>
      <c r="K531" s="140">
        <v>0.33333333333333331</v>
      </c>
      <c r="L531" s="133">
        <v>0.66666666666666663</v>
      </c>
      <c r="M531" s="2"/>
      <c r="N531" s="190" t="s">
        <v>1855</v>
      </c>
      <c r="O531" s="191"/>
      <c r="P531" s="191"/>
      <c r="Q531" s="191"/>
      <c r="R531" s="191"/>
      <c r="S531" s="192"/>
      <c r="T531" s="2"/>
    </row>
    <row r="532" spans="1:20" customFormat="1" x14ac:dyDescent="0.3">
      <c r="A532" s="2"/>
      <c r="B532" s="204"/>
      <c r="C532" s="204"/>
      <c r="D532" s="204"/>
      <c r="E532" s="2"/>
      <c r="F532" s="2"/>
      <c r="G532" s="2"/>
      <c r="H532" s="2"/>
      <c r="I532" s="2"/>
      <c r="J532" s="100" t="s">
        <v>1390</v>
      </c>
      <c r="K532" s="140">
        <v>0.33333333333333331</v>
      </c>
      <c r="L532" s="133">
        <v>0.66666666666666663</v>
      </c>
      <c r="M532" s="2"/>
      <c r="N532" s="193"/>
      <c r="O532" s="194"/>
      <c r="P532" s="194"/>
      <c r="Q532" s="194"/>
      <c r="R532" s="194"/>
      <c r="S532" s="195"/>
      <c r="T532" s="2"/>
    </row>
    <row r="533" spans="1:20" customFormat="1" x14ac:dyDescent="0.3">
      <c r="A533" s="2"/>
      <c r="B533" s="204"/>
      <c r="C533" s="204"/>
      <c r="D533" s="204"/>
      <c r="E533" s="2"/>
      <c r="F533" s="2"/>
      <c r="G533" s="2"/>
      <c r="H533" s="2"/>
      <c r="I533" s="2"/>
      <c r="J533" s="100" t="s">
        <v>1607</v>
      </c>
      <c r="K533" s="140">
        <v>0.33333333333333331</v>
      </c>
      <c r="L533" s="133">
        <v>0.66666666666666663</v>
      </c>
      <c r="M533" s="2"/>
      <c r="N533" s="193"/>
      <c r="O533" s="194"/>
      <c r="P533" s="194"/>
      <c r="Q533" s="194"/>
      <c r="R533" s="194"/>
      <c r="S533" s="195"/>
      <c r="T533" s="2"/>
    </row>
    <row r="534" spans="1:20" customFormat="1" x14ac:dyDescent="0.3">
      <c r="A534" s="2"/>
      <c r="B534" s="204"/>
      <c r="C534" s="204"/>
      <c r="D534" s="204"/>
      <c r="E534" s="2"/>
      <c r="F534" s="2"/>
      <c r="G534" s="2"/>
      <c r="H534" s="2"/>
      <c r="I534" s="2"/>
      <c r="J534" s="100" t="s">
        <v>1734</v>
      </c>
      <c r="K534" s="140">
        <v>0.2857142857142857</v>
      </c>
      <c r="L534" s="133">
        <v>0.7142857142857143</v>
      </c>
      <c r="M534" s="2"/>
      <c r="N534" s="193"/>
      <c r="O534" s="194"/>
      <c r="P534" s="194"/>
      <c r="Q534" s="194"/>
      <c r="R534" s="194"/>
      <c r="S534" s="195"/>
      <c r="T534" s="2"/>
    </row>
    <row r="535" spans="1:20" customFormat="1" x14ac:dyDescent="0.3">
      <c r="A535" s="2"/>
      <c r="B535" s="204"/>
      <c r="C535" s="204"/>
      <c r="D535" s="204"/>
      <c r="E535" s="2"/>
      <c r="F535" s="2"/>
      <c r="G535" s="2"/>
      <c r="H535" s="2"/>
      <c r="I535" s="2"/>
      <c r="J535" s="100" t="s">
        <v>1623</v>
      </c>
      <c r="K535" s="140">
        <v>0.27272727272727271</v>
      </c>
      <c r="L535" s="133">
        <v>0.72727272727272729</v>
      </c>
      <c r="M535" s="2"/>
      <c r="N535" s="193"/>
      <c r="O535" s="194"/>
      <c r="P535" s="194"/>
      <c r="Q535" s="194"/>
      <c r="R535" s="194"/>
      <c r="S535" s="195"/>
      <c r="T535" s="2"/>
    </row>
    <row r="536" spans="1:20" customFormat="1" x14ac:dyDescent="0.3">
      <c r="A536" s="2"/>
      <c r="B536" s="204"/>
      <c r="C536" s="204"/>
      <c r="D536" s="204"/>
      <c r="E536" s="2"/>
      <c r="F536" s="2"/>
      <c r="G536" s="2"/>
      <c r="H536" s="2"/>
      <c r="I536" s="2"/>
      <c r="J536" s="100" t="s">
        <v>1726</v>
      </c>
      <c r="K536" s="140">
        <v>0.27272727272727271</v>
      </c>
      <c r="L536" s="133">
        <v>0.72727272727272729</v>
      </c>
      <c r="M536" s="2"/>
      <c r="N536" s="193"/>
      <c r="O536" s="194"/>
      <c r="P536" s="194"/>
      <c r="Q536" s="194"/>
      <c r="R536" s="194"/>
      <c r="S536" s="195"/>
      <c r="T536" s="2"/>
    </row>
    <row r="537" spans="1:20" customFormat="1" x14ac:dyDescent="0.3">
      <c r="A537" s="2"/>
      <c r="B537" s="2"/>
      <c r="C537" s="2"/>
      <c r="D537" s="2"/>
      <c r="E537" s="2"/>
      <c r="F537" s="2"/>
      <c r="G537" s="2"/>
      <c r="H537" s="2"/>
      <c r="I537" s="2"/>
      <c r="J537" s="100" t="s">
        <v>1746</v>
      </c>
      <c r="K537" s="140">
        <v>0.25</v>
      </c>
      <c r="L537" s="133">
        <v>0.75</v>
      </c>
      <c r="M537" s="2"/>
      <c r="N537" s="193"/>
      <c r="O537" s="194"/>
      <c r="P537" s="194"/>
      <c r="Q537" s="194"/>
      <c r="R537" s="194"/>
      <c r="S537" s="195"/>
      <c r="T537" s="2"/>
    </row>
    <row r="538" spans="1:20" customFormat="1" x14ac:dyDescent="0.3">
      <c r="A538" s="2"/>
      <c r="B538" s="2"/>
      <c r="C538" s="2"/>
      <c r="D538" s="2"/>
      <c r="E538" s="2"/>
      <c r="F538" s="2"/>
      <c r="G538" s="2"/>
      <c r="H538" s="2"/>
      <c r="I538" s="2"/>
      <c r="J538" s="100" t="s">
        <v>1538</v>
      </c>
      <c r="K538" s="140">
        <v>0.25</v>
      </c>
      <c r="L538" s="133">
        <v>0.75</v>
      </c>
      <c r="M538" s="2"/>
      <c r="N538" s="193"/>
      <c r="O538" s="194"/>
      <c r="P538" s="194"/>
      <c r="Q538" s="194"/>
      <c r="R538" s="194"/>
      <c r="S538" s="195"/>
      <c r="T538" s="2"/>
    </row>
    <row r="539" spans="1:20" customFormat="1" x14ac:dyDescent="0.3">
      <c r="A539" s="2"/>
      <c r="B539" s="2"/>
      <c r="C539" s="2"/>
      <c r="D539" s="294"/>
      <c r="E539" s="160"/>
      <c r="F539" s="160"/>
      <c r="G539" s="160"/>
      <c r="H539" s="160"/>
      <c r="I539" s="2"/>
      <c r="J539" s="100" t="s">
        <v>1701</v>
      </c>
      <c r="K539" s="140">
        <v>0.2</v>
      </c>
      <c r="L539" s="133">
        <v>0.8</v>
      </c>
      <c r="M539" s="2"/>
      <c r="N539" s="193"/>
      <c r="O539" s="194"/>
      <c r="P539" s="194"/>
      <c r="Q539" s="194"/>
      <c r="R539" s="194"/>
      <c r="S539" s="195"/>
      <c r="T539" s="2"/>
    </row>
    <row r="540" spans="1:20" customFormat="1" x14ac:dyDescent="0.3">
      <c r="A540" s="2"/>
      <c r="B540" s="2"/>
      <c r="C540" s="2"/>
      <c r="D540" s="294"/>
      <c r="E540" s="161"/>
      <c r="F540" s="161"/>
      <c r="G540" s="162"/>
      <c r="H540" s="162"/>
      <c r="I540" s="2"/>
      <c r="J540" s="100" t="s">
        <v>1376</v>
      </c>
      <c r="K540" s="140">
        <v>0.2</v>
      </c>
      <c r="L540" s="133">
        <v>0.8</v>
      </c>
      <c r="M540" s="2"/>
      <c r="N540" s="193"/>
      <c r="O540" s="194"/>
      <c r="P540" s="194"/>
      <c r="Q540" s="194"/>
      <c r="R540" s="194"/>
      <c r="S540" s="195"/>
      <c r="T540" s="2"/>
    </row>
    <row r="541" spans="1:20" customFormat="1" x14ac:dyDescent="0.3">
      <c r="A541" s="2"/>
      <c r="B541" s="2"/>
      <c r="C541" s="2"/>
      <c r="D541" s="294"/>
      <c r="E541" s="162"/>
      <c r="F541" s="162"/>
      <c r="G541" s="162"/>
      <c r="H541" s="162"/>
      <c r="I541" s="2"/>
      <c r="J541" s="50" t="s">
        <v>1139</v>
      </c>
      <c r="K541" s="105">
        <v>38.973421186656488</v>
      </c>
      <c r="L541" s="105">
        <v>30.026578813343519</v>
      </c>
      <c r="M541" s="2"/>
      <c r="N541" s="193"/>
      <c r="O541" s="194"/>
      <c r="P541" s="194"/>
      <c r="Q541" s="194"/>
      <c r="R541" s="194"/>
      <c r="S541" s="195"/>
      <c r="T541" s="2"/>
    </row>
    <row r="542" spans="1:20" customFormat="1" x14ac:dyDescent="0.3">
      <c r="A542" s="2"/>
      <c r="B542" s="2"/>
      <c r="C542" s="2"/>
      <c r="D542" s="294"/>
      <c r="E542" s="161"/>
      <c r="F542" s="161"/>
      <c r="G542" s="162"/>
      <c r="H542" s="162"/>
      <c r="I542" s="2"/>
      <c r="J542" s="2"/>
      <c r="K542" s="2"/>
      <c r="L542" s="2"/>
      <c r="M542" s="2"/>
      <c r="N542" s="193"/>
      <c r="O542" s="194"/>
      <c r="P542" s="194"/>
      <c r="Q542" s="194"/>
      <c r="R542" s="194"/>
      <c r="S542" s="195"/>
      <c r="T542" s="2"/>
    </row>
    <row r="543" spans="1:20" customFormat="1" x14ac:dyDescent="0.3">
      <c r="A543" s="2"/>
      <c r="B543" s="2"/>
      <c r="C543" s="2"/>
      <c r="D543" s="294"/>
      <c r="E543" s="162"/>
      <c r="F543" s="162"/>
      <c r="G543" s="162"/>
      <c r="H543" s="162"/>
      <c r="I543" s="2"/>
      <c r="J543" s="2"/>
      <c r="K543" s="2"/>
      <c r="L543" s="2"/>
      <c r="M543" s="2"/>
      <c r="N543" s="193"/>
      <c r="O543" s="194"/>
      <c r="P543" s="194"/>
      <c r="Q543" s="194"/>
      <c r="R543" s="194"/>
      <c r="S543" s="195"/>
      <c r="T543" s="2"/>
    </row>
    <row r="544" spans="1:20" customFormat="1" x14ac:dyDescent="0.3">
      <c r="A544" s="2"/>
      <c r="B544" s="2"/>
      <c r="C544" s="2"/>
      <c r="D544" s="294"/>
      <c r="E544" s="161"/>
      <c r="F544" s="161"/>
      <c r="G544" s="162"/>
      <c r="H544" s="162"/>
      <c r="I544" s="2"/>
      <c r="J544" s="2"/>
      <c r="K544" s="2"/>
      <c r="L544" s="2"/>
      <c r="M544" s="2"/>
      <c r="N544" s="193"/>
      <c r="O544" s="194"/>
      <c r="P544" s="194"/>
      <c r="Q544" s="194"/>
      <c r="R544" s="194"/>
      <c r="S544" s="195"/>
      <c r="T544" s="2"/>
    </row>
    <row r="545" spans="1:20" customFormat="1" x14ac:dyDescent="0.3">
      <c r="A545" s="2"/>
      <c r="B545" s="104" t="s">
        <v>1856</v>
      </c>
      <c r="C545" s="105" t="s">
        <v>1857</v>
      </c>
      <c r="D545" s="105" t="s">
        <v>1858</v>
      </c>
      <c r="E545" s="164"/>
      <c r="F545" s="162"/>
      <c r="G545" s="162"/>
      <c r="H545" s="162"/>
      <c r="I545" s="2"/>
      <c r="J545" s="2"/>
      <c r="K545" s="2"/>
      <c r="L545" s="2"/>
      <c r="M545" s="2"/>
      <c r="N545" s="193"/>
      <c r="O545" s="194"/>
      <c r="P545" s="194"/>
      <c r="Q545" s="194"/>
      <c r="R545" s="194"/>
      <c r="S545" s="195"/>
      <c r="T545" s="2"/>
    </row>
    <row r="546" spans="1:20" customFormat="1" x14ac:dyDescent="0.3">
      <c r="A546" s="2"/>
      <c r="B546" s="138" t="s">
        <v>1850</v>
      </c>
      <c r="C546" s="139">
        <v>0.47196765223081011</v>
      </c>
      <c r="D546" s="137">
        <v>0.52803234776918972</v>
      </c>
      <c r="E546" s="163"/>
      <c r="F546" s="161"/>
      <c r="G546" s="162"/>
      <c r="H546" s="162"/>
      <c r="I546" s="2"/>
      <c r="J546" s="2"/>
      <c r="K546" s="2"/>
      <c r="L546" s="2"/>
      <c r="M546" s="2"/>
      <c r="N546" s="193"/>
      <c r="O546" s="194"/>
      <c r="P546" s="194"/>
      <c r="Q546" s="194"/>
      <c r="R546" s="194"/>
      <c r="S546" s="195"/>
      <c r="T546" s="2"/>
    </row>
    <row r="547" spans="1:20" customFormat="1" x14ac:dyDescent="0.3">
      <c r="A547" s="2"/>
      <c r="B547" s="100" t="s">
        <v>1479</v>
      </c>
      <c r="C547" s="297">
        <v>0.6875</v>
      </c>
      <c r="D547" s="133">
        <v>0.3125</v>
      </c>
      <c r="E547" s="164"/>
      <c r="F547" s="162"/>
      <c r="G547" s="162"/>
      <c r="H547" s="162"/>
      <c r="I547" s="2"/>
      <c r="J547" s="2"/>
      <c r="K547" s="2"/>
      <c r="L547" s="2"/>
      <c r="M547" s="2"/>
      <c r="N547" s="193"/>
      <c r="O547" s="194"/>
      <c r="P547" s="194"/>
      <c r="Q547" s="194"/>
      <c r="R547" s="194"/>
      <c r="S547" s="195"/>
      <c r="T547" s="2"/>
    </row>
    <row r="548" spans="1:20" customFormat="1" x14ac:dyDescent="0.3">
      <c r="A548" s="2"/>
      <c r="B548" s="100" t="s">
        <v>1852</v>
      </c>
      <c r="C548" s="297">
        <v>0.46666666666666662</v>
      </c>
      <c r="D548" s="133">
        <v>0.53333333333333333</v>
      </c>
      <c r="E548" s="163"/>
      <c r="F548" s="161"/>
      <c r="G548" s="162"/>
      <c r="H548" s="162"/>
      <c r="I548" s="2"/>
      <c r="J548" s="2"/>
      <c r="K548" s="2"/>
      <c r="L548" s="2"/>
      <c r="M548" s="2"/>
      <c r="N548" s="193"/>
      <c r="O548" s="194"/>
      <c r="P548" s="194"/>
      <c r="Q548" s="194"/>
      <c r="R548" s="194"/>
      <c r="S548" s="195"/>
      <c r="T548" s="2"/>
    </row>
    <row r="549" spans="1:20" customFormat="1" x14ac:dyDescent="0.3">
      <c r="A549" s="2"/>
      <c r="B549" s="100" t="s">
        <v>1849</v>
      </c>
      <c r="C549" s="297">
        <v>0.70711709586709626</v>
      </c>
      <c r="D549" s="133">
        <v>0.29288290413290408</v>
      </c>
      <c r="E549" s="164"/>
      <c r="F549" s="162"/>
      <c r="G549" s="162"/>
      <c r="H549" s="162"/>
      <c r="I549" s="2"/>
      <c r="J549" s="2"/>
      <c r="K549" s="2"/>
      <c r="L549" s="2"/>
      <c r="M549" s="2"/>
      <c r="N549" s="193"/>
      <c r="O549" s="194"/>
      <c r="P549" s="194"/>
      <c r="Q549" s="194"/>
      <c r="R549" s="194"/>
      <c r="S549" s="195"/>
      <c r="T549" s="2"/>
    </row>
    <row r="550" spans="1:20" customFormat="1" x14ac:dyDescent="0.3">
      <c r="A550" s="2"/>
      <c r="B550" s="100" t="s">
        <v>1854</v>
      </c>
      <c r="C550" s="297">
        <v>0.5</v>
      </c>
      <c r="D550" s="133">
        <v>0.5</v>
      </c>
      <c r="E550" s="163"/>
      <c r="F550" s="161"/>
      <c r="G550" s="162"/>
      <c r="H550" s="162"/>
      <c r="I550" s="2"/>
      <c r="J550" s="2"/>
      <c r="K550" s="2"/>
      <c r="L550" s="2"/>
      <c r="M550" s="2"/>
      <c r="N550" s="196"/>
      <c r="O550" s="197"/>
      <c r="P550" s="197"/>
      <c r="Q550" s="197"/>
      <c r="R550" s="197"/>
      <c r="S550" s="198"/>
      <c r="T550" s="2"/>
    </row>
    <row r="551" spans="1:20" customFormat="1" x14ac:dyDescent="0.3">
      <c r="A551" s="2"/>
      <c r="B551" s="102" t="s">
        <v>1851</v>
      </c>
      <c r="C551" s="298">
        <v>0.74963985594237692</v>
      </c>
      <c r="D551" s="299">
        <v>0.25036014405762302</v>
      </c>
      <c r="E551" s="164"/>
      <c r="F551" s="162"/>
      <c r="G551" s="162"/>
      <c r="H551" s="162"/>
      <c r="I551" s="2"/>
      <c r="J551" s="2"/>
      <c r="K551" s="2"/>
      <c r="L551" s="2"/>
      <c r="M551" s="2"/>
      <c r="N551" s="2"/>
      <c r="O551" s="2"/>
      <c r="P551" s="2"/>
      <c r="Q551" s="2"/>
      <c r="R551" s="2"/>
      <c r="S551" s="2"/>
      <c r="T551" s="2"/>
    </row>
    <row r="552" spans="1:20" customFormat="1" x14ac:dyDescent="0.3">
      <c r="A552" s="2"/>
      <c r="B552" s="50" t="s">
        <v>1139</v>
      </c>
      <c r="C552" s="296">
        <v>0.62787951393930952</v>
      </c>
      <c r="D552" s="296">
        <v>0.37212048606068998</v>
      </c>
      <c r="E552" s="163"/>
      <c r="F552" s="161"/>
      <c r="G552" s="162"/>
      <c r="H552" s="162"/>
      <c r="I552" s="2"/>
      <c r="J552" s="2"/>
      <c r="K552" s="2"/>
      <c r="L552" s="2"/>
      <c r="M552" s="2"/>
      <c r="N552" s="2"/>
      <c r="O552" s="2"/>
      <c r="P552" s="2"/>
      <c r="Q552" s="2"/>
      <c r="R552" s="2"/>
      <c r="S552" s="2"/>
      <c r="T552" s="2"/>
    </row>
    <row r="553" spans="1:20" customFormat="1" x14ac:dyDescent="0.3">
      <c r="A553" s="2"/>
      <c r="B553" s="27"/>
      <c r="C553" s="27"/>
      <c r="D553" s="27"/>
      <c r="E553" s="162"/>
      <c r="F553" s="162"/>
      <c r="G553" s="162"/>
      <c r="H553" s="162"/>
      <c r="I553" s="2"/>
      <c r="J553" s="2"/>
      <c r="K553" s="2"/>
      <c r="L553" s="2"/>
      <c r="M553" s="2"/>
      <c r="N553" s="2"/>
      <c r="O553" s="2"/>
      <c r="P553" s="2"/>
      <c r="Q553" s="2"/>
      <c r="R553" s="2"/>
      <c r="S553" s="2"/>
      <c r="T553" s="2"/>
    </row>
    <row r="554" spans="1:20" customFormat="1" x14ac:dyDescent="0.3">
      <c r="A554" s="2"/>
      <c r="B554" s="295"/>
      <c r="C554" s="295"/>
      <c r="D554" s="295"/>
      <c r="E554" s="161"/>
      <c r="F554" s="161"/>
      <c r="G554" s="162"/>
      <c r="H554" s="162"/>
      <c r="I554" s="2"/>
      <c r="J554" s="2"/>
      <c r="K554" s="2"/>
      <c r="L554" s="2"/>
      <c r="M554" s="2"/>
      <c r="N554" s="204" t="s">
        <v>1861</v>
      </c>
      <c r="O554" s="204"/>
      <c r="P554" s="204"/>
      <c r="Q554" s="204"/>
      <c r="R554" s="204"/>
      <c r="S554" s="204"/>
      <c r="T554" s="2"/>
    </row>
    <row r="555" spans="1:20" customFormat="1" x14ac:dyDescent="0.3">
      <c r="A555" s="2"/>
      <c r="B555" s="295"/>
      <c r="C555" s="295"/>
      <c r="D555" s="295"/>
      <c r="E555" s="162"/>
      <c r="F555" s="162"/>
      <c r="G555" s="162"/>
      <c r="H555" s="162"/>
      <c r="I555" s="2"/>
      <c r="J555" s="2"/>
      <c r="K555" s="2"/>
      <c r="L555" s="2"/>
      <c r="M555" s="2"/>
      <c r="N555" s="204"/>
      <c r="O555" s="204"/>
      <c r="P555" s="204"/>
      <c r="Q555" s="204"/>
      <c r="R555" s="204"/>
      <c r="S555" s="204"/>
      <c r="T555" s="2"/>
    </row>
    <row r="556" spans="1:20" customFormat="1" x14ac:dyDescent="0.3">
      <c r="A556" s="2"/>
      <c r="B556" s="295"/>
      <c r="C556" s="295"/>
      <c r="D556" s="295"/>
      <c r="E556" s="161"/>
      <c r="F556" s="161"/>
      <c r="G556" s="162"/>
      <c r="H556" s="162"/>
      <c r="I556" s="2"/>
      <c r="J556" s="2"/>
      <c r="K556" s="2"/>
      <c r="L556" s="2"/>
      <c r="M556" s="2"/>
      <c r="N556" s="204"/>
      <c r="O556" s="204"/>
      <c r="P556" s="204"/>
      <c r="Q556" s="204"/>
      <c r="R556" s="204"/>
      <c r="S556" s="204"/>
      <c r="T556" s="2"/>
    </row>
    <row r="557" spans="1:20" customFormat="1" x14ac:dyDescent="0.3">
      <c r="A557" s="2"/>
      <c r="B557" s="295"/>
      <c r="C557" s="295"/>
      <c r="D557" s="295"/>
      <c r="E557" s="162"/>
      <c r="F557" s="162"/>
      <c r="G557" s="162"/>
      <c r="H557" s="162"/>
      <c r="I557" s="2"/>
      <c r="J557" s="2"/>
      <c r="K557" s="2"/>
      <c r="L557" s="2"/>
      <c r="M557" s="2"/>
      <c r="N557" s="2"/>
      <c r="O557" s="2"/>
      <c r="P557" s="2"/>
      <c r="Q557" s="2"/>
      <c r="R557" s="2"/>
      <c r="S557" s="2"/>
      <c r="T557" s="2"/>
    </row>
    <row r="558" spans="1:20" customFormat="1" x14ac:dyDescent="0.3">
      <c r="A558" s="2"/>
      <c r="B558" s="295"/>
      <c r="C558" s="295"/>
      <c r="D558" s="295"/>
      <c r="E558" s="161"/>
      <c r="F558" s="161"/>
      <c r="G558" s="162"/>
      <c r="H558" s="162"/>
      <c r="I558" s="2"/>
      <c r="J558" s="2"/>
      <c r="K558" s="2"/>
      <c r="L558" s="2"/>
      <c r="M558" s="2"/>
      <c r="N558" s="2"/>
      <c r="O558" s="2"/>
      <c r="P558" s="2"/>
      <c r="Q558" s="2"/>
      <c r="R558" s="2"/>
      <c r="S558" s="2"/>
      <c r="T558" s="2"/>
    </row>
    <row r="559" spans="1:20" customFormat="1" ht="14.4" customHeight="1" x14ac:dyDescent="0.3">
      <c r="A559" s="2"/>
      <c r="B559" s="295"/>
      <c r="C559" s="295"/>
      <c r="D559" s="295"/>
      <c r="E559" s="162"/>
      <c r="F559" s="162"/>
      <c r="G559" s="162"/>
      <c r="H559" s="162"/>
      <c r="I559" s="2"/>
      <c r="J559" s="2"/>
      <c r="K559" s="2"/>
      <c r="L559" s="2"/>
      <c r="M559" s="2"/>
      <c r="N559" s="190" t="s">
        <v>1862</v>
      </c>
      <c r="O559" s="191"/>
      <c r="P559" s="191"/>
      <c r="Q559" s="191"/>
      <c r="R559" s="191"/>
      <c r="S559" s="192"/>
      <c r="T559" s="2"/>
    </row>
    <row r="560" spans="1:20" customFormat="1" x14ac:dyDescent="0.3">
      <c r="A560" s="2"/>
      <c r="B560" s="295"/>
      <c r="C560" s="295"/>
      <c r="D560" s="295"/>
      <c r="E560" s="161"/>
      <c r="F560" s="161"/>
      <c r="G560" s="162"/>
      <c r="H560" s="162"/>
      <c r="I560" s="2"/>
      <c r="J560" s="2"/>
      <c r="K560" s="2"/>
      <c r="L560" s="2"/>
      <c r="M560" s="2"/>
      <c r="N560" s="193"/>
      <c r="O560" s="293"/>
      <c r="P560" s="293"/>
      <c r="Q560" s="293"/>
      <c r="R560" s="293"/>
      <c r="S560" s="195"/>
      <c r="T560" s="2"/>
    </row>
    <row r="561" spans="1:20" customFormat="1" x14ac:dyDescent="0.3">
      <c r="A561" s="2"/>
      <c r="B561" s="295"/>
      <c r="C561" s="295"/>
      <c r="D561" s="295"/>
      <c r="E561" s="162"/>
      <c r="F561" s="162"/>
      <c r="G561" s="162"/>
      <c r="H561" s="162"/>
      <c r="I561" s="2"/>
      <c r="J561" s="2"/>
      <c r="K561" s="2"/>
      <c r="L561" s="2"/>
      <c r="M561" s="2"/>
      <c r="N561" s="193"/>
      <c r="O561" s="293"/>
      <c r="P561" s="293"/>
      <c r="Q561" s="293"/>
      <c r="R561" s="293"/>
      <c r="S561" s="195"/>
      <c r="T561" s="2"/>
    </row>
    <row r="562" spans="1:20" customFormat="1" x14ac:dyDescent="0.3">
      <c r="A562" s="2"/>
      <c r="B562" s="295"/>
      <c r="C562" s="295"/>
      <c r="D562" s="295"/>
      <c r="E562" s="161"/>
      <c r="F562" s="161"/>
      <c r="G562" s="162"/>
      <c r="H562" s="162"/>
      <c r="I562" s="2"/>
      <c r="J562" s="2"/>
      <c r="K562" s="2"/>
      <c r="L562" s="2"/>
      <c r="M562" s="2"/>
      <c r="N562" s="193"/>
      <c r="O562" s="293"/>
      <c r="P562" s="293"/>
      <c r="Q562" s="293"/>
      <c r="R562" s="293"/>
      <c r="S562" s="195"/>
      <c r="T562" s="2"/>
    </row>
    <row r="563" spans="1:20" customFormat="1" x14ac:dyDescent="0.3">
      <c r="A563" s="2"/>
      <c r="B563" s="295"/>
      <c r="C563" s="295"/>
      <c r="D563" s="295"/>
      <c r="E563" s="162"/>
      <c r="F563" s="162"/>
      <c r="G563" s="162"/>
      <c r="H563" s="162"/>
      <c r="I563" s="2"/>
      <c r="J563" s="2"/>
      <c r="K563" s="2"/>
      <c r="L563" s="2"/>
      <c r="M563" s="2"/>
      <c r="N563" s="193"/>
      <c r="O563" s="293"/>
      <c r="P563" s="293"/>
      <c r="Q563" s="293"/>
      <c r="R563" s="293"/>
      <c r="S563" s="195"/>
      <c r="T563" s="2"/>
    </row>
    <row r="564" spans="1:20" customFormat="1" ht="14.4" customHeight="1" x14ac:dyDescent="0.3">
      <c r="A564" s="2"/>
      <c r="B564" s="295"/>
      <c r="C564" s="295"/>
      <c r="D564" s="295"/>
      <c r="E564" s="161"/>
      <c r="F564" s="161"/>
      <c r="G564" s="162"/>
      <c r="H564" s="162"/>
      <c r="I564" s="2"/>
      <c r="J564" s="2"/>
      <c r="K564" s="2"/>
      <c r="L564" s="2"/>
      <c r="M564" s="2"/>
      <c r="N564" s="193"/>
      <c r="O564" s="293"/>
      <c r="P564" s="293"/>
      <c r="Q564" s="293"/>
      <c r="R564" s="293"/>
      <c r="S564" s="195"/>
      <c r="T564" s="2"/>
    </row>
    <row r="565" spans="1:20" customFormat="1" ht="14.4" hidden="1" customHeight="1" x14ac:dyDescent="0.3">
      <c r="A565" s="2"/>
      <c r="E565" s="164"/>
      <c r="F565" s="162"/>
      <c r="G565" s="162"/>
      <c r="H565" s="162"/>
      <c r="I565" s="2"/>
      <c r="J565" s="2"/>
      <c r="K565" s="2"/>
      <c r="L565" s="2"/>
      <c r="M565" s="2"/>
      <c r="N565" s="193"/>
      <c r="O565" s="293"/>
      <c r="P565" s="293"/>
      <c r="Q565" s="293"/>
      <c r="R565" s="293"/>
      <c r="S565" s="195"/>
      <c r="T565" s="2"/>
    </row>
    <row r="566" spans="1:20" customFormat="1" ht="14.4" hidden="1" customHeight="1" x14ac:dyDescent="0.3">
      <c r="A566" s="2"/>
      <c r="E566" s="163"/>
      <c r="F566" s="161"/>
      <c r="G566" s="162"/>
      <c r="H566" s="162"/>
      <c r="I566" s="2"/>
      <c r="J566" s="2"/>
      <c r="K566" s="2"/>
      <c r="L566" s="2"/>
      <c r="M566" s="2"/>
      <c r="N566" s="193"/>
      <c r="O566" s="293"/>
      <c r="P566" s="293"/>
      <c r="Q566" s="293"/>
      <c r="R566" s="293"/>
      <c r="S566" s="195"/>
      <c r="T566" s="2"/>
    </row>
    <row r="567" spans="1:20" customFormat="1" ht="14.4" hidden="1" customHeight="1" x14ac:dyDescent="0.3">
      <c r="A567" s="2"/>
      <c r="B567" s="2"/>
      <c r="C567" s="2"/>
      <c r="D567" s="2"/>
      <c r="E567" s="164"/>
      <c r="F567" s="162"/>
      <c r="G567" s="162"/>
      <c r="H567" s="162"/>
      <c r="I567" s="2"/>
      <c r="J567" s="2"/>
      <c r="K567" s="2"/>
      <c r="L567" s="2"/>
      <c r="M567" s="2"/>
      <c r="N567" s="193"/>
      <c r="O567" s="293"/>
      <c r="P567" s="293"/>
      <c r="Q567" s="293"/>
      <c r="R567" s="293"/>
      <c r="S567" s="195"/>
      <c r="T567" s="2"/>
    </row>
    <row r="568" spans="1:20" customFormat="1" ht="14.4" hidden="1" customHeight="1" x14ac:dyDescent="0.3">
      <c r="A568" s="2"/>
      <c r="B568" s="2"/>
      <c r="C568" s="2"/>
      <c r="D568" s="2"/>
      <c r="E568" s="163"/>
      <c r="F568" s="161"/>
      <c r="G568" s="162"/>
      <c r="H568" s="162"/>
      <c r="I568" s="2"/>
      <c r="J568" s="2"/>
      <c r="K568" s="2"/>
      <c r="L568" s="2"/>
      <c r="M568" s="2"/>
      <c r="N568" s="193"/>
      <c r="O568" s="293"/>
      <c r="P568" s="293"/>
      <c r="Q568" s="293"/>
      <c r="R568" s="293"/>
      <c r="S568" s="195"/>
      <c r="T568" s="2"/>
    </row>
    <row r="569" spans="1:20" customFormat="1" ht="14.4" hidden="1" customHeight="1" x14ac:dyDescent="0.3">
      <c r="A569" s="2"/>
      <c r="B569" s="2"/>
      <c r="C569" s="2"/>
      <c r="D569" s="2"/>
      <c r="E569" s="164"/>
      <c r="F569" s="162"/>
      <c r="G569" s="162"/>
      <c r="H569" s="162"/>
      <c r="I569" s="2"/>
      <c r="J569" s="2"/>
      <c r="K569" s="2"/>
      <c r="L569" s="2"/>
      <c r="M569" s="2"/>
      <c r="N569" s="193"/>
      <c r="O569" s="293"/>
      <c r="P569" s="293"/>
      <c r="Q569" s="293"/>
      <c r="R569" s="293"/>
      <c r="S569" s="195"/>
      <c r="T569" s="2"/>
    </row>
    <row r="570" spans="1:20" customFormat="1" ht="14.4" hidden="1" customHeight="1" x14ac:dyDescent="0.3">
      <c r="A570" s="2"/>
      <c r="B570" s="2"/>
      <c r="C570" s="2"/>
      <c r="D570" s="2"/>
      <c r="E570" s="163"/>
      <c r="F570" s="161"/>
      <c r="G570" s="162"/>
      <c r="H570" s="162"/>
      <c r="I570" s="2"/>
      <c r="J570" s="2"/>
      <c r="K570" s="2"/>
      <c r="L570" s="2"/>
      <c r="M570" s="2"/>
      <c r="N570" s="193"/>
      <c r="O570" s="293"/>
      <c r="P570" s="293"/>
      <c r="Q570" s="293"/>
      <c r="R570" s="293"/>
      <c r="S570" s="195"/>
      <c r="T570" s="2"/>
    </row>
    <row r="571" spans="1:20" customFormat="1" ht="14.4" hidden="1" customHeight="1" x14ac:dyDescent="0.3">
      <c r="A571" s="2"/>
      <c r="B571" s="2"/>
      <c r="C571" s="2"/>
      <c r="D571" s="2"/>
      <c r="E571" s="164"/>
      <c r="F571" s="162"/>
      <c r="G571" s="162"/>
      <c r="H571" s="162"/>
      <c r="I571" s="2"/>
      <c r="J571" s="2"/>
      <c r="K571" s="2"/>
      <c r="L571" s="2"/>
      <c r="M571" s="2"/>
      <c r="N571" s="193"/>
      <c r="O571" s="293"/>
      <c r="P571" s="293"/>
      <c r="Q571" s="293"/>
      <c r="R571" s="293"/>
      <c r="S571" s="195"/>
      <c r="T571" s="2"/>
    </row>
    <row r="572" spans="1:20" customFormat="1" ht="14.4" hidden="1" customHeight="1" x14ac:dyDescent="0.3">
      <c r="A572" s="2"/>
      <c r="B572" s="2"/>
      <c r="C572" s="2"/>
      <c r="D572" s="2"/>
      <c r="E572" s="163"/>
      <c r="F572" s="161"/>
      <c r="G572" s="162"/>
      <c r="H572" s="162"/>
      <c r="I572" s="2"/>
      <c r="J572" s="2"/>
      <c r="K572" s="2"/>
      <c r="L572" s="2"/>
      <c r="M572" s="2"/>
      <c r="N572" s="193"/>
      <c r="O572" s="293"/>
      <c r="P572" s="293"/>
      <c r="Q572" s="293"/>
      <c r="R572" s="293"/>
      <c r="S572" s="195"/>
      <c r="T572" s="2"/>
    </row>
    <row r="573" spans="1:20" customFormat="1" ht="14.4" hidden="1" customHeight="1" x14ac:dyDescent="0.3">
      <c r="A573" s="2"/>
      <c r="B573" s="2"/>
      <c r="C573" s="2"/>
      <c r="D573" s="2"/>
      <c r="E573" s="164"/>
      <c r="F573" s="162"/>
      <c r="G573" s="162"/>
      <c r="H573" s="162"/>
      <c r="I573" s="2"/>
      <c r="J573" s="2"/>
      <c r="K573" s="2"/>
      <c r="L573" s="2"/>
      <c r="M573" s="2"/>
      <c r="N573" s="193"/>
      <c r="O573" s="293"/>
      <c r="P573" s="293"/>
      <c r="Q573" s="293"/>
      <c r="R573" s="293"/>
      <c r="S573" s="195"/>
      <c r="T573" s="2"/>
    </row>
    <row r="574" spans="1:20" customFormat="1" ht="14.4" hidden="1" customHeight="1" x14ac:dyDescent="0.3">
      <c r="A574" s="2"/>
      <c r="B574" s="2"/>
      <c r="C574" s="2"/>
      <c r="D574" s="2"/>
      <c r="E574" s="163"/>
      <c r="F574" s="161"/>
      <c r="G574" s="162"/>
      <c r="H574" s="162"/>
      <c r="I574" s="2"/>
      <c r="J574" s="2"/>
      <c r="K574" s="2"/>
      <c r="L574" s="2"/>
      <c r="M574" s="2"/>
      <c r="N574" s="193"/>
      <c r="O574" s="293"/>
      <c r="P574" s="293"/>
      <c r="Q574" s="293"/>
      <c r="R574" s="293"/>
      <c r="S574" s="195"/>
      <c r="T574" s="2"/>
    </row>
    <row r="575" spans="1:20" customFormat="1" ht="14.4" hidden="1" customHeight="1" x14ac:dyDescent="0.3">
      <c r="A575" s="2"/>
      <c r="B575" s="2"/>
      <c r="C575" s="2"/>
      <c r="D575" s="2"/>
      <c r="E575" s="164"/>
      <c r="F575" s="162"/>
      <c r="G575" s="162"/>
      <c r="H575" s="162"/>
      <c r="I575" s="2"/>
      <c r="J575" s="2"/>
      <c r="K575" s="2"/>
      <c r="L575" s="2"/>
      <c r="M575" s="2"/>
      <c r="N575" s="193"/>
      <c r="O575" s="293"/>
      <c r="P575" s="293"/>
      <c r="Q575" s="293"/>
      <c r="R575" s="293"/>
      <c r="S575" s="195"/>
      <c r="T575" s="2"/>
    </row>
    <row r="576" spans="1:20" customFormat="1" ht="14.4" hidden="1" customHeight="1" x14ac:dyDescent="0.3">
      <c r="A576" s="2"/>
      <c r="B576" s="2"/>
      <c r="C576" s="2"/>
      <c r="D576" s="2"/>
      <c r="E576" s="163"/>
      <c r="F576" s="161"/>
      <c r="G576" s="162"/>
      <c r="H576" s="162"/>
      <c r="I576" s="2"/>
      <c r="J576" s="2"/>
      <c r="K576" s="2"/>
      <c r="L576" s="2"/>
      <c r="M576" s="2"/>
      <c r="N576" s="193"/>
      <c r="O576" s="293"/>
      <c r="P576" s="293"/>
      <c r="Q576" s="293"/>
      <c r="R576" s="293"/>
      <c r="S576" s="195"/>
      <c r="T576" s="2"/>
    </row>
    <row r="577" spans="1:20" customFormat="1" ht="14.4" hidden="1" customHeight="1" x14ac:dyDescent="0.3">
      <c r="A577" s="2"/>
      <c r="B577" s="2"/>
      <c r="C577" s="2"/>
      <c r="D577" s="2"/>
      <c r="E577" s="164"/>
      <c r="F577" s="162"/>
      <c r="G577" s="162"/>
      <c r="H577" s="162"/>
      <c r="I577" s="2"/>
      <c r="J577" s="2"/>
      <c r="K577" s="2"/>
      <c r="L577" s="2"/>
      <c r="M577" s="2"/>
      <c r="N577" s="193"/>
      <c r="O577" s="293"/>
      <c r="P577" s="293"/>
      <c r="Q577" s="293"/>
      <c r="R577" s="293"/>
      <c r="S577" s="195"/>
      <c r="T577" s="2"/>
    </row>
    <row r="578" spans="1:20" customFormat="1" ht="14.4" hidden="1" customHeight="1" x14ac:dyDescent="0.3">
      <c r="A578" s="2"/>
      <c r="B578" s="2"/>
      <c r="C578" s="2"/>
      <c r="D578" s="2"/>
      <c r="E578" s="163"/>
      <c r="F578" s="161"/>
      <c r="G578" s="162"/>
      <c r="H578" s="162"/>
      <c r="I578" s="2"/>
      <c r="J578" s="2"/>
      <c r="K578" s="2"/>
      <c r="L578" s="2"/>
      <c r="M578" s="2"/>
      <c r="N578" s="193"/>
      <c r="O578" s="293"/>
      <c r="P578" s="293"/>
      <c r="Q578" s="293"/>
      <c r="R578" s="293"/>
      <c r="S578" s="195"/>
      <c r="T578" s="2"/>
    </row>
    <row r="579" spans="1:20" customFormat="1" ht="14.4" hidden="1" customHeight="1" x14ac:dyDescent="0.3">
      <c r="A579" s="2"/>
      <c r="B579" s="2"/>
      <c r="C579" s="2"/>
      <c r="D579" s="2"/>
      <c r="E579" s="164"/>
      <c r="F579" s="162"/>
      <c r="G579" s="162"/>
      <c r="H579" s="162"/>
      <c r="I579" s="2"/>
      <c r="J579" s="2"/>
      <c r="K579" s="2"/>
      <c r="L579" s="2"/>
      <c r="M579" s="2"/>
      <c r="N579" s="193"/>
      <c r="O579" s="293"/>
      <c r="P579" s="293"/>
      <c r="Q579" s="293"/>
      <c r="R579" s="293"/>
      <c r="S579" s="195"/>
      <c r="T579" s="2"/>
    </row>
    <row r="580" spans="1:20" customFormat="1" ht="14.4" hidden="1" customHeight="1" x14ac:dyDescent="0.3">
      <c r="A580" s="2"/>
      <c r="B580" s="2"/>
      <c r="C580" s="2"/>
      <c r="D580" s="2"/>
      <c r="E580" s="163"/>
      <c r="F580" s="161"/>
      <c r="G580" s="162"/>
      <c r="H580" s="162"/>
      <c r="I580" s="2"/>
      <c r="J580" s="2"/>
      <c r="K580" s="2"/>
      <c r="L580" s="2"/>
      <c r="M580" s="2"/>
      <c r="N580" s="193"/>
      <c r="O580" s="293"/>
      <c r="P580" s="293"/>
      <c r="Q580" s="293"/>
      <c r="R580" s="293"/>
      <c r="S580" s="195"/>
      <c r="T580" s="2"/>
    </row>
    <row r="581" spans="1:20" customFormat="1" ht="14.4" hidden="1" customHeight="1" x14ac:dyDescent="0.3">
      <c r="A581" s="2"/>
      <c r="B581" s="2"/>
      <c r="C581" s="2"/>
      <c r="D581" s="2"/>
      <c r="E581" s="164"/>
      <c r="F581" s="162"/>
      <c r="G581" s="162"/>
      <c r="H581" s="162"/>
      <c r="I581" s="2"/>
      <c r="J581" s="2"/>
      <c r="K581" s="2"/>
      <c r="L581" s="2"/>
      <c r="M581" s="2"/>
      <c r="N581" s="193"/>
      <c r="O581" s="293"/>
      <c r="P581" s="293"/>
      <c r="Q581" s="293"/>
      <c r="R581" s="293"/>
      <c r="S581" s="195"/>
      <c r="T581" s="2"/>
    </row>
    <row r="582" spans="1:20" ht="14.4" hidden="1" customHeight="1" x14ac:dyDescent="0.3">
      <c r="B582" s="2"/>
      <c r="C582" s="2"/>
      <c r="D582" s="2"/>
      <c r="E582" s="163"/>
      <c r="F582" s="161"/>
      <c r="G582" s="162"/>
      <c r="H582" s="162"/>
      <c r="I582" s="2"/>
      <c r="J582" s="2"/>
      <c r="K582" s="2"/>
      <c r="L582" s="2"/>
      <c r="M582" s="2"/>
      <c r="N582" s="193"/>
      <c r="O582" s="293"/>
      <c r="P582" s="293"/>
      <c r="Q582" s="293"/>
      <c r="R582" s="293"/>
      <c r="S582" s="195"/>
    </row>
    <row r="583" spans="1:20" ht="14.4" hidden="1" customHeight="1" x14ac:dyDescent="0.3">
      <c r="B583" s="2"/>
      <c r="C583" s="2"/>
      <c r="D583" s="2"/>
      <c r="E583" s="164"/>
      <c r="F583" s="162"/>
      <c r="G583" s="162"/>
      <c r="H583" s="162"/>
      <c r="I583" s="2"/>
      <c r="J583" s="2"/>
      <c r="K583" s="2"/>
      <c r="L583" s="2"/>
      <c r="M583" s="2"/>
      <c r="N583" s="193"/>
      <c r="O583" s="293"/>
      <c r="P583" s="293"/>
      <c r="Q583" s="293"/>
      <c r="R583" s="293"/>
      <c r="S583" s="195"/>
    </row>
    <row r="584" spans="1:20" ht="14.4" hidden="1" customHeight="1" x14ac:dyDescent="0.3">
      <c r="B584" s="2"/>
      <c r="C584" s="2"/>
      <c r="D584" s="2"/>
      <c r="E584" s="163"/>
      <c r="F584" s="161"/>
      <c r="G584" s="162"/>
      <c r="H584" s="162"/>
      <c r="I584" s="2"/>
      <c r="J584" s="2"/>
      <c r="K584" s="2"/>
      <c r="L584" s="2"/>
      <c r="M584" s="2"/>
      <c r="N584" s="193"/>
      <c r="O584" s="293"/>
      <c r="P584" s="293"/>
      <c r="Q584" s="293"/>
      <c r="R584" s="293"/>
      <c r="S584" s="195"/>
    </row>
    <row r="585" spans="1:20" ht="14.4" hidden="1" customHeight="1" x14ac:dyDescent="0.3">
      <c r="B585" s="2"/>
      <c r="C585" s="2"/>
      <c r="D585" s="2"/>
      <c r="E585" s="164"/>
      <c r="F585" s="162"/>
      <c r="G585" s="162"/>
      <c r="H585" s="162"/>
      <c r="I585" s="2"/>
      <c r="J585" s="2"/>
      <c r="K585" s="2"/>
      <c r="L585" s="2"/>
      <c r="M585" s="2"/>
      <c r="N585" s="193"/>
      <c r="O585" s="293"/>
      <c r="P585" s="293"/>
      <c r="Q585" s="293"/>
      <c r="R585" s="293"/>
      <c r="S585" s="195"/>
    </row>
    <row r="586" spans="1:20" ht="14.4" hidden="1" customHeight="1" x14ac:dyDescent="0.3">
      <c r="B586" s="2"/>
      <c r="C586" s="2"/>
      <c r="D586" s="2"/>
      <c r="E586" s="163"/>
      <c r="F586" s="161"/>
      <c r="G586" s="162"/>
      <c r="H586" s="162"/>
      <c r="I586" s="2"/>
      <c r="J586" s="2"/>
      <c r="K586" s="2"/>
      <c r="L586" s="2"/>
      <c r="M586" s="2"/>
      <c r="N586" s="193"/>
      <c r="O586" s="293"/>
      <c r="P586" s="293"/>
      <c r="Q586" s="293"/>
      <c r="R586" s="293"/>
      <c r="S586" s="195"/>
    </row>
    <row r="587" spans="1:20" ht="14.4" hidden="1" customHeight="1" x14ac:dyDescent="0.3">
      <c r="B587" s="2"/>
      <c r="C587" s="2"/>
      <c r="D587" s="2"/>
      <c r="E587" s="164"/>
      <c r="F587" s="162"/>
      <c r="G587" s="162"/>
      <c r="H587" s="162"/>
      <c r="I587" s="2"/>
      <c r="J587" s="2"/>
      <c r="K587" s="2"/>
      <c r="L587" s="2"/>
      <c r="M587" s="2"/>
      <c r="N587" s="193"/>
      <c r="O587" s="293"/>
      <c r="P587" s="293"/>
      <c r="Q587" s="293"/>
      <c r="R587" s="293"/>
      <c r="S587" s="195"/>
    </row>
    <row r="588" spans="1:20" ht="14.4" hidden="1" customHeight="1" x14ac:dyDescent="0.3">
      <c r="B588" s="2"/>
      <c r="C588" s="2"/>
      <c r="D588" s="2"/>
      <c r="E588" s="163"/>
      <c r="F588" s="161"/>
      <c r="G588" s="162"/>
      <c r="H588" s="162"/>
      <c r="I588" s="2"/>
      <c r="J588" s="2"/>
      <c r="K588" s="2"/>
      <c r="L588" s="2"/>
      <c r="M588" s="2"/>
      <c r="N588" s="193"/>
      <c r="O588" s="293"/>
      <c r="P588" s="293"/>
      <c r="Q588" s="293"/>
      <c r="R588" s="293"/>
      <c r="S588" s="195"/>
    </row>
    <row r="589" spans="1:20" ht="14.4" hidden="1" customHeight="1" x14ac:dyDescent="0.3">
      <c r="B589" s="2"/>
      <c r="C589" s="2"/>
      <c r="D589" s="2"/>
      <c r="E589" s="164"/>
      <c r="F589" s="162"/>
      <c r="G589" s="162"/>
      <c r="H589" s="162"/>
      <c r="I589" s="2"/>
      <c r="J589" s="2"/>
      <c r="K589" s="2"/>
      <c r="L589" s="2"/>
      <c r="M589" s="2"/>
      <c r="N589" s="193"/>
      <c r="O589" s="293"/>
      <c r="P589" s="293"/>
      <c r="Q589" s="293"/>
      <c r="R589" s="293"/>
      <c r="S589" s="195"/>
    </row>
    <row r="590" spans="1:20" ht="14.4" hidden="1" customHeight="1" x14ac:dyDescent="0.3">
      <c r="B590" s="2"/>
      <c r="C590" s="2"/>
      <c r="D590" s="2"/>
      <c r="E590" s="163"/>
      <c r="F590" s="161"/>
      <c r="G590" s="162"/>
      <c r="H590" s="162"/>
      <c r="I590" s="2"/>
      <c r="J590" s="2"/>
      <c r="K590" s="2"/>
      <c r="L590" s="2"/>
      <c r="M590" s="2"/>
      <c r="N590" s="193"/>
      <c r="O590" s="293"/>
      <c r="P590" s="293"/>
      <c r="Q590" s="293"/>
      <c r="R590" s="293"/>
      <c r="S590" s="195"/>
    </row>
    <row r="591" spans="1:20" ht="14.4" hidden="1" customHeight="1" x14ac:dyDescent="0.3">
      <c r="B591" s="2"/>
      <c r="C591" s="2"/>
      <c r="D591" s="2"/>
      <c r="E591" s="164"/>
      <c r="F591" s="162"/>
      <c r="G591" s="162"/>
      <c r="H591" s="162"/>
      <c r="I591" s="2"/>
      <c r="J591" s="2"/>
      <c r="K591" s="2"/>
      <c r="L591" s="2"/>
      <c r="M591" s="2"/>
      <c r="N591" s="193"/>
      <c r="O591" s="293"/>
      <c r="P591" s="293"/>
      <c r="Q591" s="293"/>
      <c r="R591" s="293"/>
      <c r="S591" s="195"/>
    </row>
    <row r="592" spans="1:20" ht="14.4" hidden="1" customHeight="1" x14ac:dyDescent="0.3">
      <c r="B592" s="2"/>
      <c r="C592" s="2"/>
      <c r="D592" s="2"/>
      <c r="E592" s="163"/>
      <c r="F592" s="161"/>
      <c r="G592" s="162"/>
      <c r="H592" s="162"/>
      <c r="I592" s="2"/>
      <c r="J592" s="2"/>
      <c r="K592" s="2"/>
      <c r="L592" s="2"/>
      <c r="M592" s="2"/>
      <c r="N592" s="193"/>
      <c r="O592" s="293"/>
      <c r="P592" s="293"/>
      <c r="Q592" s="293"/>
      <c r="R592" s="293"/>
      <c r="S592" s="195"/>
    </row>
    <row r="593" spans="2:19" ht="14.4" hidden="1" customHeight="1" x14ac:dyDescent="0.3">
      <c r="B593" s="2"/>
      <c r="C593" s="2"/>
      <c r="D593" s="2"/>
      <c r="E593" s="164"/>
      <c r="F593" s="162"/>
      <c r="G593" s="162"/>
      <c r="H593" s="162"/>
      <c r="I593" s="2"/>
      <c r="J593" s="2"/>
      <c r="K593" s="2"/>
      <c r="L593" s="2"/>
      <c r="M593" s="2"/>
      <c r="N593" s="193"/>
      <c r="O593" s="293"/>
      <c r="P593" s="293"/>
      <c r="Q593" s="293"/>
      <c r="R593" s="293"/>
      <c r="S593" s="195"/>
    </row>
    <row r="594" spans="2:19" ht="14.4" hidden="1" customHeight="1" x14ac:dyDescent="0.3">
      <c r="B594" s="2"/>
      <c r="C594" s="2"/>
      <c r="D594" s="2"/>
      <c r="E594" s="163"/>
      <c r="F594" s="161"/>
      <c r="G594" s="162"/>
      <c r="H594" s="162"/>
      <c r="I594" s="2"/>
      <c r="J594" s="2"/>
      <c r="K594" s="2"/>
      <c r="L594" s="2"/>
      <c r="M594" s="2"/>
      <c r="N594" s="193"/>
      <c r="O594" s="293"/>
      <c r="P594" s="293"/>
      <c r="Q594" s="293"/>
      <c r="R594" s="293"/>
      <c r="S594" s="195"/>
    </row>
    <row r="595" spans="2:19" ht="14.4" hidden="1" customHeight="1" x14ac:dyDescent="0.3">
      <c r="B595" s="2"/>
      <c r="C595" s="2"/>
      <c r="D595" s="2"/>
      <c r="E595" s="164"/>
      <c r="F595" s="162"/>
      <c r="G595" s="162"/>
      <c r="H595" s="162"/>
      <c r="I595" s="2"/>
      <c r="J595" s="2"/>
      <c r="K595" s="2"/>
      <c r="L595" s="2"/>
      <c r="M595" s="2"/>
      <c r="N595" s="193"/>
      <c r="O595" s="293"/>
      <c r="P595" s="293"/>
      <c r="Q595" s="293"/>
      <c r="R595" s="293"/>
      <c r="S595" s="195"/>
    </row>
    <row r="596" spans="2:19" ht="14.4" hidden="1" customHeight="1" x14ac:dyDescent="0.3">
      <c r="B596" s="2"/>
      <c r="C596" s="2"/>
      <c r="D596" s="2"/>
      <c r="E596" s="163"/>
      <c r="F596" s="161"/>
      <c r="G596" s="162"/>
      <c r="H596" s="162"/>
      <c r="I596" s="2"/>
      <c r="J596" s="2"/>
      <c r="K596" s="2"/>
      <c r="L596" s="2"/>
      <c r="M596" s="2"/>
      <c r="N596" s="193"/>
      <c r="O596" s="293"/>
      <c r="P596" s="293"/>
      <c r="Q596" s="293"/>
      <c r="R596" s="293"/>
      <c r="S596" s="195"/>
    </row>
    <row r="597" spans="2:19" ht="14.4" hidden="1" customHeight="1" x14ac:dyDescent="0.3">
      <c r="B597" s="2"/>
      <c r="C597" s="2"/>
      <c r="D597" s="2"/>
      <c r="E597" s="164"/>
      <c r="F597" s="162"/>
      <c r="G597" s="162"/>
      <c r="H597" s="162"/>
      <c r="I597" s="2"/>
      <c r="J597" s="2"/>
      <c r="K597" s="2"/>
      <c r="L597" s="2"/>
      <c r="M597" s="2"/>
      <c r="N597" s="193"/>
      <c r="O597" s="293"/>
      <c r="P597" s="293"/>
      <c r="Q597" s="293"/>
      <c r="R597" s="293"/>
      <c r="S597" s="195"/>
    </row>
    <row r="598" spans="2:19" ht="14.4" hidden="1" customHeight="1" x14ac:dyDescent="0.3">
      <c r="B598" s="2"/>
      <c r="C598" s="2"/>
      <c r="D598" s="2"/>
      <c r="E598" s="163"/>
      <c r="F598" s="161"/>
      <c r="G598" s="162"/>
      <c r="H598" s="162"/>
      <c r="I598" s="2"/>
      <c r="J598" s="2"/>
      <c r="K598" s="2"/>
      <c r="L598" s="2"/>
      <c r="M598" s="2"/>
      <c r="N598" s="193"/>
      <c r="O598" s="293"/>
      <c r="P598" s="293"/>
      <c r="Q598" s="293"/>
      <c r="R598" s="293"/>
      <c r="S598" s="195"/>
    </row>
    <row r="599" spans="2:19" ht="14.4" hidden="1" customHeight="1" x14ac:dyDescent="0.3">
      <c r="B599" s="2"/>
      <c r="C599" s="2"/>
      <c r="D599" s="2"/>
      <c r="E599" s="164"/>
      <c r="F599" s="162"/>
      <c r="G599" s="162"/>
      <c r="H599" s="162"/>
      <c r="I599" s="2"/>
      <c r="J599" s="2"/>
      <c r="K599" s="2"/>
      <c r="L599" s="2"/>
      <c r="M599" s="2"/>
      <c r="N599" s="193"/>
      <c r="O599" s="293"/>
      <c r="P599" s="293"/>
      <c r="Q599" s="293"/>
      <c r="R599" s="293"/>
      <c r="S599" s="195"/>
    </row>
    <row r="600" spans="2:19" ht="14.4" hidden="1" customHeight="1" x14ac:dyDescent="0.3">
      <c r="B600" s="2"/>
      <c r="C600" s="2"/>
      <c r="D600" s="2"/>
      <c r="E600" s="163"/>
      <c r="F600" s="161"/>
      <c r="G600" s="162"/>
      <c r="H600" s="162"/>
      <c r="I600" s="2"/>
      <c r="J600" s="2"/>
      <c r="K600" s="2"/>
      <c r="L600" s="2"/>
      <c r="M600" s="2"/>
      <c r="N600" s="193"/>
      <c r="O600" s="293"/>
      <c r="P600" s="293"/>
      <c r="Q600" s="293"/>
      <c r="R600" s="293"/>
      <c r="S600" s="195"/>
    </row>
    <row r="601" spans="2:19" ht="14.4" hidden="1" customHeight="1" x14ac:dyDescent="0.3">
      <c r="B601" s="2"/>
      <c r="C601" s="2"/>
      <c r="D601" s="2"/>
      <c r="E601" s="164"/>
      <c r="F601" s="162"/>
      <c r="G601" s="162"/>
      <c r="H601" s="162"/>
      <c r="I601" s="2"/>
      <c r="J601" s="2"/>
      <c r="K601" s="2"/>
      <c r="L601" s="2"/>
      <c r="M601" s="2"/>
      <c r="N601" s="193"/>
      <c r="O601" s="293"/>
      <c r="P601" s="293"/>
      <c r="Q601" s="293"/>
      <c r="R601" s="293"/>
      <c r="S601" s="195"/>
    </row>
    <row r="602" spans="2:19" ht="14.4" hidden="1" customHeight="1" x14ac:dyDescent="0.3">
      <c r="B602" s="2"/>
      <c r="C602" s="2"/>
      <c r="D602" s="2"/>
      <c r="E602" s="163"/>
      <c r="F602" s="161"/>
      <c r="G602" s="162"/>
      <c r="H602" s="162"/>
      <c r="I602" s="2"/>
      <c r="J602" s="2"/>
      <c r="K602" s="2"/>
      <c r="L602" s="2"/>
      <c r="M602" s="2"/>
      <c r="N602" s="193"/>
      <c r="O602" s="293"/>
      <c r="P602" s="293"/>
      <c r="Q602" s="293"/>
      <c r="R602" s="293"/>
      <c r="S602" s="195"/>
    </row>
    <row r="603" spans="2:19" ht="14.4" hidden="1" customHeight="1" x14ac:dyDescent="0.3">
      <c r="B603" s="2"/>
      <c r="C603" s="2"/>
      <c r="D603" s="2"/>
      <c r="E603" s="164"/>
      <c r="F603" s="162"/>
      <c r="G603" s="162"/>
      <c r="H603" s="162"/>
      <c r="I603" s="2"/>
      <c r="J603" s="2"/>
      <c r="K603" s="2"/>
      <c r="L603" s="2"/>
      <c r="M603" s="2"/>
      <c r="N603" s="193"/>
      <c r="O603" s="293"/>
      <c r="P603" s="293"/>
      <c r="Q603" s="293"/>
      <c r="R603" s="293"/>
      <c r="S603" s="195"/>
    </row>
    <row r="604" spans="2:19" ht="14.4" hidden="1" customHeight="1" x14ac:dyDescent="0.3">
      <c r="B604" s="2"/>
      <c r="C604" s="2"/>
      <c r="D604" s="2"/>
      <c r="E604" s="163"/>
      <c r="F604" s="161"/>
      <c r="G604" s="162"/>
      <c r="H604" s="162"/>
      <c r="I604" s="2"/>
      <c r="J604" s="2"/>
      <c r="K604" s="2"/>
      <c r="L604" s="2"/>
      <c r="M604" s="2"/>
      <c r="N604" s="193"/>
      <c r="O604" s="293"/>
      <c r="P604" s="293"/>
      <c r="Q604" s="293"/>
      <c r="R604" s="293"/>
      <c r="S604" s="195"/>
    </row>
    <row r="605" spans="2:19" ht="14.4" hidden="1" customHeight="1" x14ac:dyDescent="0.3">
      <c r="B605" s="2"/>
      <c r="C605" s="2"/>
      <c r="D605" s="2"/>
      <c r="E605" s="164"/>
      <c r="F605" s="162"/>
      <c r="G605" s="162"/>
      <c r="H605" s="162"/>
      <c r="I605" s="2"/>
      <c r="J605" s="2"/>
      <c r="K605" s="2"/>
      <c r="L605" s="2"/>
      <c r="M605" s="2"/>
      <c r="N605" s="193"/>
      <c r="O605" s="293"/>
      <c r="P605" s="293"/>
      <c r="Q605" s="293"/>
      <c r="R605" s="293"/>
      <c r="S605" s="195"/>
    </row>
    <row r="606" spans="2:19" ht="14.4" hidden="1" customHeight="1" x14ac:dyDescent="0.3">
      <c r="B606" s="2"/>
      <c r="C606" s="2"/>
      <c r="D606" s="2"/>
      <c r="E606" s="163"/>
      <c r="F606" s="161"/>
      <c r="G606" s="162"/>
      <c r="H606" s="162"/>
      <c r="I606" s="2"/>
      <c r="J606" s="2"/>
      <c r="K606" s="2"/>
      <c r="L606" s="2"/>
      <c r="M606" s="2"/>
      <c r="N606" s="193"/>
      <c r="O606" s="293"/>
      <c r="P606" s="293"/>
      <c r="Q606" s="293"/>
      <c r="R606" s="293"/>
      <c r="S606" s="195"/>
    </row>
    <row r="607" spans="2:19" ht="14.4" hidden="1" customHeight="1" x14ac:dyDescent="0.3">
      <c r="B607" s="2"/>
      <c r="C607" s="2"/>
      <c r="D607" s="2"/>
      <c r="E607" s="164"/>
      <c r="F607" s="162"/>
      <c r="G607" s="162"/>
      <c r="H607" s="162"/>
      <c r="I607" s="2"/>
      <c r="J607" s="2"/>
      <c r="K607" s="2"/>
      <c r="L607" s="2"/>
      <c r="M607" s="2"/>
      <c r="N607" s="193"/>
      <c r="O607" s="293"/>
      <c r="P607" s="293"/>
      <c r="Q607" s="293"/>
      <c r="R607" s="293"/>
      <c r="S607" s="195"/>
    </row>
    <row r="608" spans="2:19" ht="14.4" hidden="1" customHeight="1" x14ac:dyDescent="0.3">
      <c r="B608" s="2"/>
      <c r="C608" s="2"/>
      <c r="D608" s="2"/>
      <c r="E608" s="163"/>
      <c r="F608" s="161"/>
      <c r="G608" s="162"/>
      <c r="H608" s="162"/>
      <c r="I608" s="2"/>
      <c r="J608" s="2"/>
      <c r="K608" s="2"/>
      <c r="L608" s="2"/>
      <c r="M608" s="2"/>
      <c r="N608" s="193"/>
      <c r="O608" s="293"/>
      <c r="P608" s="293"/>
      <c r="Q608" s="293"/>
      <c r="R608" s="293"/>
      <c r="S608" s="195"/>
    </row>
    <row r="609" spans="1:20" ht="14.4" hidden="1" customHeight="1" x14ac:dyDescent="0.3">
      <c r="B609" s="2"/>
      <c r="C609" s="2"/>
      <c r="D609" s="2"/>
      <c r="E609" s="141"/>
      <c r="F609" s="141"/>
      <c r="G609" s="141"/>
      <c r="H609" s="141"/>
      <c r="I609" s="2"/>
      <c r="J609" s="2"/>
      <c r="K609" s="2"/>
      <c r="L609" s="2"/>
      <c r="M609" s="2"/>
      <c r="N609" s="193"/>
      <c r="O609" s="293"/>
      <c r="P609" s="293"/>
      <c r="Q609" s="293"/>
      <c r="R609" s="293"/>
      <c r="S609" s="195"/>
    </row>
    <row r="610" spans="1:20" ht="14.4" hidden="1" customHeight="1" x14ac:dyDescent="0.3">
      <c r="B610" s="2"/>
      <c r="C610" s="2"/>
      <c r="D610" s="2"/>
      <c r="E610" s="141"/>
      <c r="F610" s="141"/>
      <c r="G610" s="141"/>
      <c r="H610" s="141"/>
      <c r="I610" s="2"/>
      <c r="J610" s="2"/>
      <c r="K610" s="2"/>
      <c r="L610" s="2"/>
      <c r="M610" s="2"/>
      <c r="N610" s="193"/>
      <c r="O610" s="293"/>
      <c r="P610" s="293"/>
      <c r="Q610" s="293"/>
      <c r="R610" s="293"/>
      <c r="S610" s="195"/>
    </row>
    <row r="611" spans="1:20" ht="14.4" hidden="1" customHeight="1" x14ac:dyDescent="0.3">
      <c r="B611" s="2"/>
      <c r="C611" s="2"/>
      <c r="D611" s="2"/>
      <c r="E611" s="141"/>
      <c r="F611" s="141"/>
      <c r="G611" s="141"/>
      <c r="H611" s="141"/>
      <c r="I611" s="2"/>
      <c r="J611" s="2"/>
      <c r="K611" s="2"/>
      <c r="L611" s="2"/>
      <c r="M611" s="2"/>
      <c r="N611" s="193"/>
      <c r="O611" s="293"/>
      <c r="P611" s="293"/>
      <c r="Q611" s="293"/>
      <c r="R611" s="293"/>
      <c r="S611" s="195"/>
    </row>
    <row r="612" spans="1:20" ht="14.4" hidden="1" customHeight="1" x14ac:dyDescent="0.3">
      <c r="B612" s="2"/>
      <c r="C612" s="2"/>
      <c r="D612" s="2"/>
      <c r="E612" s="141"/>
      <c r="F612" s="141"/>
      <c r="G612" s="141"/>
      <c r="H612" s="141"/>
      <c r="I612" s="2"/>
      <c r="J612" s="2"/>
      <c r="K612" s="2"/>
      <c r="L612" s="2"/>
      <c r="M612" s="2"/>
      <c r="N612" s="193"/>
      <c r="O612" s="293"/>
      <c r="P612" s="293"/>
      <c r="Q612" s="293"/>
      <c r="R612" s="293"/>
      <c r="S612" s="195"/>
    </row>
    <row r="613" spans="1:20" ht="14.4" hidden="1" customHeight="1" x14ac:dyDescent="0.3">
      <c r="B613" s="2"/>
      <c r="C613" s="2"/>
      <c r="D613" s="2"/>
      <c r="E613" s="141"/>
      <c r="F613" s="141"/>
      <c r="G613" s="141"/>
      <c r="H613" s="141"/>
      <c r="I613" s="2"/>
      <c r="J613" s="2"/>
      <c r="K613" s="2"/>
      <c r="L613" s="2"/>
      <c r="M613" s="2"/>
      <c r="N613" s="193"/>
      <c r="O613" s="293"/>
      <c r="P613" s="293"/>
      <c r="Q613" s="293"/>
      <c r="R613" s="293"/>
      <c r="S613" s="195"/>
    </row>
    <row r="614" spans="1:20" ht="14.4" hidden="1" customHeight="1" x14ac:dyDescent="0.3">
      <c r="B614" s="2"/>
      <c r="C614" s="2"/>
      <c r="D614" s="2"/>
      <c r="E614" s="141"/>
      <c r="F614" s="141"/>
      <c r="G614" s="141"/>
      <c r="H614" s="141"/>
      <c r="I614" s="2"/>
      <c r="J614" s="2"/>
      <c r="K614" s="2"/>
      <c r="L614" s="2"/>
      <c r="M614" s="2"/>
      <c r="N614" s="193"/>
      <c r="O614" s="293"/>
      <c r="P614" s="293"/>
      <c r="Q614" s="293"/>
      <c r="R614" s="293"/>
      <c r="S614" s="195"/>
    </row>
    <row r="615" spans="1:20" ht="14.4" hidden="1" customHeight="1" x14ac:dyDescent="0.3">
      <c r="B615" s="2"/>
      <c r="C615" s="2"/>
      <c r="D615" s="2"/>
      <c r="E615" s="2"/>
      <c r="F615" s="2"/>
      <c r="G615" s="2"/>
      <c r="H615" s="2"/>
      <c r="I615" s="2"/>
      <c r="J615" s="2"/>
      <c r="K615" s="2"/>
      <c r="L615" s="2"/>
      <c r="M615" s="2"/>
      <c r="N615" s="193"/>
      <c r="O615" s="293"/>
      <c r="P615" s="293"/>
      <c r="Q615" s="293"/>
      <c r="R615" s="293"/>
      <c r="S615" s="195"/>
    </row>
    <row r="616" spans="1:20" ht="14.4" hidden="1" customHeight="1" x14ac:dyDescent="0.3">
      <c r="B616" s="2"/>
      <c r="C616" s="2"/>
      <c r="D616" s="2"/>
      <c r="E616" s="2"/>
      <c r="F616" s="2"/>
      <c r="G616" s="2"/>
      <c r="H616" s="2"/>
      <c r="I616" s="2"/>
      <c r="J616" s="2"/>
      <c r="K616" s="2"/>
      <c r="L616" s="2"/>
      <c r="M616" s="2"/>
      <c r="N616" s="193"/>
      <c r="O616" s="293"/>
      <c r="P616" s="293"/>
      <c r="Q616" s="293"/>
      <c r="R616" s="293"/>
      <c r="S616" s="195"/>
    </row>
    <row r="617" spans="1:20" customFormat="1" ht="14.4" hidden="1" customHeight="1" x14ac:dyDescent="0.3">
      <c r="A617" s="2"/>
      <c r="B617" s="2"/>
      <c r="C617" s="2"/>
      <c r="D617" s="2"/>
      <c r="E617" s="2"/>
      <c r="F617" s="2"/>
      <c r="G617" s="2"/>
      <c r="H617" s="2"/>
      <c r="I617" s="2"/>
      <c r="J617" s="2"/>
      <c r="K617" s="2"/>
      <c r="L617" s="2"/>
      <c r="M617" s="2"/>
      <c r="N617" s="193"/>
      <c r="O617" s="293"/>
      <c r="P617" s="293"/>
      <c r="Q617" s="293"/>
      <c r="R617" s="293"/>
      <c r="S617" s="195"/>
      <c r="T617" s="2"/>
    </row>
    <row r="618" spans="1:20" customFormat="1" ht="14.4" hidden="1" customHeight="1" x14ac:dyDescent="0.3">
      <c r="A618" s="2"/>
      <c r="B618" s="2"/>
      <c r="C618" s="2"/>
      <c r="D618" s="2"/>
      <c r="E618" s="2"/>
      <c r="F618" s="2"/>
      <c r="G618" s="2"/>
      <c r="H618" s="2"/>
      <c r="I618" s="2"/>
      <c r="J618" s="2"/>
      <c r="K618" s="2"/>
      <c r="L618" s="2"/>
      <c r="M618" s="2"/>
      <c r="N618" s="193"/>
      <c r="O618" s="293"/>
      <c r="P618" s="293"/>
      <c r="Q618" s="293"/>
      <c r="R618" s="293"/>
      <c r="S618" s="195"/>
      <c r="T618" s="2"/>
    </row>
    <row r="619" spans="1:20" customFormat="1" ht="14.4" hidden="1" customHeight="1" x14ac:dyDescent="0.3">
      <c r="A619" s="2"/>
      <c r="B619" s="2"/>
      <c r="C619" s="2"/>
      <c r="D619" s="2"/>
      <c r="E619" s="2"/>
      <c r="F619" s="2"/>
      <c r="G619" s="2"/>
      <c r="H619" s="2"/>
      <c r="I619" s="2"/>
      <c r="J619" s="2"/>
      <c r="K619" s="2"/>
      <c r="L619" s="2"/>
      <c r="M619" s="2"/>
      <c r="N619" s="193"/>
      <c r="O619" s="293"/>
      <c r="P619" s="293"/>
      <c r="Q619" s="293"/>
      <c r="R619" s="293"/>
      <c r="S619" s="195"/>
      <c r="T619" s="2"/>
    </row>
    <row r="620" spans="1:20" customFormat="1" ht="14.4" hidden="1" customHeight="1" x14ac:dyDescent="0.3">
      <c r="A620" s="2"/>
      <c r="B620" s="2"/>
      <c r="C620" s="2"/>
      <c r="D620" s="2"/>
      <c r="E620" s="2"/>
      <c r="F620" s="2"/>
      <c r="G620" s="2"/>
      <c r="H620" s="2"/>
      <c r="I620" s="2"/>
      <c r="J620" s="2"/>
      <c r="K620" s="2"/>
      <c r="L620" s="2"/>
      <c r="M620" s="2"/>
      <c r="N620" s="193"/>
      <c r="O620" s="293"/>
      <c r="P620" s="293"/>
      <c r="Q620" s="293"/>
      <c r="R620" s="293"/>
      <c r="S620" s="195"/>
      <c r="T620" s="2"/>
    </row>
    <row r="621" spans="1:20" customFormat="1" ht="14.4" hidden="1" customHeight="1" x14ac:dyDescent="0.3">
      <c r="A621" s="2"/>
      <c r="B621" s="2"/>
      <c r="C621" s="2"/>
      <c r="D621" s="2"/>
      <c r="E621" s="2"/>
      <c r="F621" s="2"/>
      <c r="G621" s="2"/>
      <c r="H621" s="2"/>
      <c r="I621" s="2"/>
      <c r="J621" s="2"/>
      <c r="K621" s="2"/>
      <c r="L621" s="2"/>
      <c r="M621" s="2"/>
      <c r="N621" s="193"/>
      <c r="O621" s="293"/>
      <c r="P621" s="293"/>
      <c r="Q621" s="293"/>
      <c r="R621" s="293"/>
      <c r="S621" s="195"/>
      <c r="T621" s="2"/>
    </row>
    <row r="622" spans="1:20" customFormat="1" ht="14.4" hidden="1" customHeight="1" x14ac:dyDescent="0.3">
      <c r="A622" s="2"/>
      <c r="B622" s="2"/>
      <c r="C622" s="2"/>
      <c r="D622" s="2"/>
      <c r="E622" s="2"/>
      <c r="F622" s="2"/>
      <c r="G622" s="2"/>
      <c r="H622" s="2"/>
      <c r="I622" s="2"/>
      <c r="J622" s="2"/>
      <c r="K622" s="2"/>
      <c r="L622" s="2"/>
      <c r="M622" s="2"/>
      <c r="N622" s="193"/>
      <c r="O622" s="293"/>
      <c r="P622" s="293"/>
      <c r="Q622" s="293"/>
      <c r="R622" s="293"/>
      <c r="S622" s="195"/>
      <c r="T622" s="2"/>
    </row>
    <row r="623" spans="1:20" customFormat="1" ht="14.4" hidden="1" customHeight="1" x14ac:dyDescent="0.3">
      <c r="A623" s="2"/>
      <c r="B623" s="2"/>
      <c r="C623" s="2"/>
      <c r="D623" s="2"/>
      <c r="E623" s="2"/>
      <c r="F623" s="2"/>
      <c r="G623" s="2"/>
      <c r="H623" s="2"/>
      <c r="I623" s="2"/>
      <c r="J623" s="2"/>
      <c r="K623" s="2"/>
      <c r="L623" s="2"/>
      <c r="M623" s="2"/>
      <c r="N623" s="193"/>
      <c r="O623" s="293"/>
      <c r="P623" s="293"/>
      <c r="Q623" s="293"/>
      <c r="R623" s="293"/>
      <c r="S623" s="195"/>
      <c r="T623" s="2"/>
    </row>
    <row r="624" spans="1:20" customFormat="1" ht="14.4" hidden="1" customHeight="1" x14ac:dyDescent="0.3">
      <c r="A624" s="2"/>
      <c r="B624" s="2"/>
      <c r="C624" s="2"/>
      <c r="D624" s="2"/>
      <c r="E624" s="2"/>
      <c r="F624" s="2"/>
      <c r="G624" s="2"/>
      <c r="H624" s="2"/>
      <c r="I624" s="2"/>
      <c r="J624" s="2"/>
      <c r="K624" s="2"/>
      <c r="L624" s="2"/>
      <c r="M624" s="2"/>
      <c r="N624" s="193"/>
      <c r="O624" s="293"/>
      <c r="P624" s="293"/>
      <c r="Q624" s="293"/>
      <c r="R624" s="293"/>
      <c r="S624" s="195"/>
      <c r="T624" s="2"/>
    </row>
    <row r="625" spans="1:20" customFormat="1" ht="14.4" hidden="1" customHeight="1" x14ac:dyDescent="0.3">
      <c r="A625" s="2"/>
      <c r="B625" s="2"/>
      <c r="C625" s="2"/>
      <c r="D625" s="2"/>
      <c r="E625" s="2"/>
      <c r="F625" s="2"/>
      <c r="G625" s="2"/>
      <c r="H625" s="2"/>
      <c r="I625" s="2"/>
      <c r="J625" s="2"/>
      <c r="K625" s="2"/>
      <c r="L625" s="2"/>
      <c r="M625" s="2"/>
      <c r="N625" s="193"/>
      <c r="O625" s="293"/>
      <c r="P625" s="293"/>
      <c r="Q625" s="293"/>
      <c r="R625" s="293"/>
      <c r="S625" s="195"/>
      <c r="T625" s="2"/>
    </row>
    <row r="626" spans="1:20" customFormat="1" ht="14.4" hidden="1" customHeight="1" x14ac:dyDescent="0.3">
      <c r="A626" s="2"/>
      <c r="B626" s="2"/>
      <c r="C626" s="2"/>
      <c r="D626" s="2"/>
      <c r="E626" s="2"/>
      <c r="F626" s="2"/>
      <c r="G626" s="2"/>
      <c r="H626" s="2"/>
      <c r="I626" s="2"/>
      <c r="J626" s="2"/>
      <c r="K626" s="2"/>
      <c r="L626" s="2"/>
      <c r="M626" s="2"/>
      <c r="N626" s="193"/>
      <c r="O626" s="293"/>
      <c r="P626" s="293"/>
      <c r="Q626" s="293"/>
      <c r="R626" s="293"/>
      <c r="S626" s="195"/>
      <c r="T626" s="2"/>
    </row>
    <row r="627" spans="1:20" customFormat="1" ht="14.4" hidden="1" customHeight="1" x14ac:dyDescent="0.3">
      <c r="A627" s="2"/>
      <c r="B627" s="2"/>
      <c r="C627" s="2"/>
      <c r="D627" s="2"/>
      <c r="E627" s="2"/>
      <c r="F627" s="2"/>
      <c r="G627" s="2"/>
      <c r="H627" s="2"/>
      <c r="I627" s="2"/>
      <c r="J627" s="2"/>
      <c r="K627" s="2"/>
      <c r="L627" s="2"/>
      <c r="M627" s="2"/>
      <c r="N627" s="193"/>
      <c r="O627" s="293"/>
      <c r="P627" s="293"/>
      <c r="Q627" s="293"/>
      <c r="R627" s="293"/>
      <c r="S627" s="195"/>
      <c r="T627" s="2"/>
    </row>
    <row r="628" spans="1:20" customFormat="1" ht="14.4" hidden="1" customHeight="1" x14ac:dyDescent="0.3">
      <c r="A628" s="2"/>
      <c r="B628" s="2"/>
      <c r="C628" s="2"/>
      <c r="D628" s="2"/>
      <c r="E628" s="2"/>
      <c r="F628" s="2"/>
      <c r="G628" s="2"/>
      <c r="H628" s="2"/>
      <c r="I628" s="2"/>
      <c r="J628" s="2"/>
      <c r="K628" s="2"/>
      <c r="L628" s="2"/>
      <c r="M628" s="2"/>
      <c r="N628" s="193"/>
      <c r="O628" s="293"/>
      <c r="P628" s="293"/>
      <c r="Q628" s="293"/>
      <c r="R628" s="293"/>
      <c r="S628" s="195"/>
      <c r="T628" s="2"/>
    </row>
    <row r="629" spans="1:20" customFormat="1" ht="14.4" hidden="1" customHeight="1" x14ac:dyDescent="0.3">
      <c r="A629" s="2"/>
      <c r="B629" s="2"/>
      <c r="C629" s="2"/>
      <c r="D629" s="2"/>
      <c r="E629" s="2"/>
      <c r="F629" s="2"/>
      <c r="G629" s="2"/>
      <c r="H629" s="2"/>
      <c r="I629" s="2"/>
      <c r="J629" s="2"/>
      <c r="K629" s="2"/>
      <c r="L629" s="2"/>
      <c r="M629" s="2"/>
      <c r="N629" s="193"/>
      <c r="O629" s="293"/>
      <c r="P629" s="293"/>
      <c r="Q629" s="293"/>
      <c r="R629" s="293"/>
      <c r="S629" s="195"/>
      <c r="T629" s="2"/>
    </row>
    <row r="630" spans="1:20" customFormat="1" ht="14.4" hidden="1" customHeight="1" x14ac:dyDescent="0.3">
      <c r="A630" s="2"/>
      <c r="B630" s="2"/>
      <c r="C630" s="2"/>
      <c r="D630" s="2"/>
      <c r="E630" s="2"/>
      <c r="F630" s="2"/>
      <c r="G630" s="2"/>
      <c r="H630" s="2"/>
      <c r="I630" s="2"/>
      <c r="J630" s="2"/>
      <c r="K630" s="2"/>
      <c r="L630" s="2"/>
      <c r="M630" s="2"/>
      <c r="N630" s="193"/>
      <c r="O630" s="293"/>
      <c r="P630" s="293"/>
      <c r="Q630" s="293"/>
      <c r="R630" s="293"/>
      <c r="S630" s="195"/>
      <c r="T630" s="2"/>
    </row>
    <row r="631" spans="1:20" customFormat="1" ht="14.4" hidden="1" customHeight="1" x14ac:dyDescent="0.3">
      <c r="A631" s="2"/>
      <c r="B631" s="2"/>
      <c r="C631" s="2"/>
      <c r="D631" s="2"/>
      <c r="E631" s="2"/>
      <c r="F631" s="2"/>
      <c r="G631" s="2"/>
      <c r="H631" s="2"/>
      <c r="I631" s="2"/>
      <c r="J631" s="2"/>
      <c r="K631" s="2"/>
      <c r="L631" s="2"/>
      <c r="M631" s="2"/>
      <c r="N631" s="193"/>
      <c r="O631" s="293"/>
      <c r="P631" s="293"/>
      <c r="Q631" s="293"/>
      <c r="R631" s="293"/>
      <c r="S631" s="195"/>
      <c r="T631" s="2"/>
    </row>
    <row r="632" spans="1:20" customFormat="1" ht="14.4" hidden="1" customHeight="1" x14ac:dyDescent="0.3">
      <c r="A632" s="2"/>
      <c r="B632" s="2"/>
      <c r="C632" s="2"/>
      <c r="D632" s="2"/>
      <c r="E632" s="2"/>
      <c r="F632" s="2"/>
      <c r="G632" s="2"/>
      <c r="H632" s="2"/>
      <c r="I632" s="2"/>
      <c r="J632" s="2"/>
      <c r="K632" s="2"/>
      <c r="L632" s="2"/>
      <c r="M632" s="2"/>
      <c r="N632" s="193"/>
      <c r="O632" s="293"/>
      <c r="P632" s="293"/>
      <c r="Q632" s="293"/>
      <c r="R632" s="293"/>
      <c r="S632" s="195"/>
      <c r="T632" s="2"/>
    </row>
    <row r="633" spans="1:20" customFormat="1" ht="14.4" hidden="1" customHeight="1" x14ac:dyDescent="0.3">
      <c r="A633" s="2"/>
      <c r="B633" s="2"/>
      <c r="C633" s="2"/>
      <c r="D633" s="2"/>
      <c r="E633" s="2"/>
      <c r="F633" s="2"/>
      <c r="G633" s="2"/>
      <c r="H633" s="2"/>
      <c r="I633" s="2"/>
      <c r="J633" s="2"/>
      <c r="K633" s="2"/>
      <c r="L633" s="2"/>
      <c r="M633" s="2"/>
      <c r="N633" s="193"/>
      <c r="O633" s="293"/>
      <c r="P633" s="293"/>
      <c r="Q633" s="293"/>
      <c r="R633" s="293"/>
      <c r="S633" s="195"/>
      <c r="T633" s="2"/>
    </row>
    <row r="634" spans="1:20" customFormat="1" ht="14.4" hidden="1" customHeight="1" x14ac:dyDescent="0.3">
      <c r="A634" s="2"/>
      <c r="B634" s="2"/>
      <c r="C634" s="2"/>
      <c r="D634" s="2"/>
      <c r="E634" s="2"/>
      <c r="F634" s="2"/>
      <c r="G634" s="2"/>
      <c r="H634" s="2"/>
      <c r="I634" s="2"/>
      <c r="J634" s="2"/>
      <c r="K634" s="2"/>
      <c r="L634" s="2"/>
      <c r="M634" s="2"/>
      <c r="N634" s="193"/>
      <c r="O634" s="293"/>
      <c r="P634" s="293"/>
      <c r="Q634" s="293"/>
      <c r="R634" s="293"/>
      <c r="S634" s="195"/>
      <c r="T634" s="2"/>
    </row>
    <row r="635" spans="1:20" customFormat="1" ht="14.4" hidden="1" customHeight="1" x14ac:dyDescent="0.3">
      <c r="A635" s="2"/>
      <c r="B635" s="2"/>
      <c r="C635" s="2"/>
      <c r="D635" s="2"/>
      <c r="E635" s="2"/>
      <c r="F635" s="2"/>
      <c r="G635" s="2"/>
      <c r="H635" s="2"/>
      <c r="I635" s="2"/>
      <c r="J635" s="2"/>
      <c r="K635" s="2"/>
      <c r="L635" s="2"/>
      <c r="M635" s="2"/>
      <c r="N635" s="193"/>
      <c r="O635" s="293"/>
      <c r="P635" s="293"/>
      <c r="Q635" s="293"/>
      <c r="R635" s="293"/>
      <c r="S635" s="195"/>
      <c r="T635" s="2"/>
    </row>
    <row r="636" spans="1:20" customFormat="1" ht="14.4" hidden="1" customHeight="1" x14ac:dyDescent="0.3">
      <c r="A636" s="2"/>
      <c r="B636" s="2"/>
      <c r="C636" s="2"/>
      <c r="D636" s="2"/>
      <c r="E636" s="2"/>
      <c r="F636" s="2"/>
      <c r="G636" s="2"/>
      <c r="H636" s="2"/>
      <c r="I636" s="2"/>
      <c r="J636" s="2"/>
      <c r="K636" s="2"/>
      <c r="L636" s="2"/>
      <c r="M636" s="2"/>
      <c r="N636" s="193"/>
      <c r="O636" s="293"/>
      <c r="P636" s="293"/>
      <c r="Q636" s="293"/>
      <c r="R636" s="293"/>
      <c r="S636" s="195"/>
      <c r="T636" s="2"/>
    </row>
    <row r="637" spans="1:20" customFormat="1" ht="14.4" hidden="1" customHeight="1" x14ac:dyDescent="0.3">
      <c r="A637" s="2"/>
      <c r="B637" s="2"/>
      <c r="C637" s="2"/>
      <c r="D637" s="2"/>
      <c r="E637" s="2"/>
      <c r="F637" s="2"/>
      <c r="G637" s="2"/>
      <c r="H637" s="2"/>
      <c r="I637" s="2"/>
      <c r="J637" s="2"/>
      <c r="K637" s="2"/>
      <c r="L637" s="2"/>
      <c r="M637" s="2"/>
      <c r="N637" s="193"/>
      <c r="O637" s="293"/>
      <c r="P637" s="293"/>
      <c r="Q637" s="293"/>
      <c r="R637" s="293"/>
      <c r="S637" s="195"/>
      <c r="T637" s="2"/>
    </row>
    <row r="638" spans="1:20" customFormat="1" ht="14.4" hidden="1" customHeight="1" x14ac:dyDescent="0.3">
      <c r="A638" s="2"/>
      <c r="B638" s="2"/>
      <c r="C638" s="2"/>
      <c r="D638" s="2"/>
      <c r="E638" s="2"/>
      <c r="F638" s="2"/>
      <c r="G638" s="2"/>
      <c r="H638" s="2"/>
      <c r="I638" s="2"/>
      <c r="J638" s="2"/>
      <c r="K638" s="2"/>
      <c r="L638" s="2"/>
      <c r="M638" s="2"/>
      <c r="N638" s="193"/>
      <c r="O638" s="293"/>
      <c r="P638" s="293"/>
      <c r="Q638" s="293"/>
      <c r="R638" s="293"/>
      <c r="S638" s="195"/>
      <c r="T638" s="2"/>
    </row>
    <row r="639" spans="1:20" customFormat="1" ht="14.4" hidden="1" customHeight="1" x14ac:dyDescent="0.3">
      <c r="A639" s="2"/>
      <c r="B639" s="2"/>
      <c r="C639" s="2"/>
      <c r="D639" s="2"/>
      <c r="E639" s="2"/>
      <c r="F639" s="2"/>
      <c r="G639" s="2"/>
      <c r="H639" s="2"/>
      <c r="I639" s="2"/>
      <c r="J639" s="2"/>
      <c r="K639" s="2"/>
      <c r="L639" s="2"/>
      <c r="M639" s="2"/>
      <c r="N639" s="193"/>
      <c r="O639" s="293"/>
      <c r="P639" s="293"/>
      <c r="Q639" s="293"/>
      <c r="R639" s="293"/>
      <c r="S639" s="195"/>
      <c r="T639" s="2"/>
    </row>
    <row r="640" spans="1:20" customFormat="1" ht="14.4" hidden="1" customHeight="1" x14ac:dyDescent="0.3">
      <c r="A640" s="2"/>
      <c r="B640" s="2"/>
      <c r="C640" s="2"/>
      <c r="D640" s="2"/>
      <c r="E640" s="2"/>
      <c r="F640" s="2"/>
      <c r="G640" s="2"/>
      <c r="H640" s="2"/>
      <c r="I640" s="2"/>
      <c r="J640" s="2"/>
      <c r="K640" s="2"/>
      <c r="L640" s="2"/>
      <c r="M640" s="2"/>
      <c r="N640" s="193"/>
      <c r="O640" s="293"/>
      <c r="P640" s="293"/>
      <c r="Q640" s="293"/>
      <c r="R640" s="293"/>
      <c r="S640" s="195"/>
      <c r="T640" s="2"/>
    </row>
    <row r="641" spans="1:20" customFormat="1" ht="14.4" hidden="1" customHeight="1" x14ac:dyDescent="0.3">
      <c r="A641" s="2"/>
      <c r="B641" s="2"/>
      <c r="C641" s="2"/>
      <c r="D641" s="2"/>
      <c r="E641" s="2"/>
      <c r="F641" s="2"/>
      <c r="G641" s="2"/>
      <c r="H641" s="2"/>
      <c r="I641" s="2"/>
      <c r="J641" s="2"/>
      <c r="K641" s="2"/>
      <c r="L641" s="2"/>
      <c r="M641" s="2"/>
      <c r="N641" s="193"/>
      <c r="O641" s="293"/>
      <c r="P641" s="293"/>
      <c r="Q641" s="293"/>
      <c r="R641" s="293"/>
      <c r="S641" s="195"/>
      <c r="T641" s="2"/>
    </row>
    <row r="642" spans="1:20" customFormat="1" ht="14.4" hidden="1" customHeight="1" x14ac:dyDescent="0.3">
      <c r="A642" s="2"/>
      <c r="B642" s="2"/>
      <c r="C642" s="2"/>
      <c r="D642" s="2"/>
      <c r="E642" s="2"/>
      <c r="F642" s="2"/>
      <c r="G642" s="2"/>
      <c r="H642" s="2"/>
      <c r="I642" s="2"/>
      <c r="J642" s="2"/>
      <c r="K642" s="2"/>
      <c r="L642" s="2"/>
      <c r="M642" s="2"/>
      <c r="N642" s="193"/>
      <c r="O642" s="293"/>
      <c r="P642" s="293"/>
      <c r="Q642" s="293"/>
      <c r="R642" s="293"/>
      <c r="S642" s="195"/>
      <c r="T642" s="2"/>
    </row>
    <row r="643" spans="1:20" customFormat="1" ht="14.4" hidden="1" customHeight="1" x14ac:dyDescent="0.3">
      <c r="A643" s="2"/>
      <c r="B643" s="2"/>
      <c r="C643" s="2"/>
      <c r="D643" s="2"/>
      <c r="E643" s="2"/>
      <c r="F643" s="2"/>
      <c r="G643" s="2"/>
      <c r="H643" s="2"/>
      <c r="I643" s="2"/>
      <c r="J643" s="2"/>
      <c r="K643" s="2"/>
      <c r="L643" s="2"/>
      <c r="M643" s="2"/>
      <c r="N643" s="193"/>
      <c r="O643" s="293"/>
      <c r="P643" s="293"/>
      <c r="Q643" s="293"/>
      <c r="R643" s="293"/>
      <c r="S643" s="195"/>
      <c r="T643" s="2"/>
    </row>
    <row r="644" spans="1:20" customFormat="1" ht="14.4" hidden="1" customHeight="1" x14ac:dyDescent="0.3">
      <c r="A644" s="2"/>
      <c r="B644" s="2"/>
      <c r="C644" s="2"/>
      <c r="D644" s="2"/>
      <c r="E644" s="2"/>
      <c r="F644" s="2"/>
      <c r="G644" s="2"/>
      <c r="H644" s="2"/>
      <c r="I644" s="2"/>
      <c r="J644" s="2"/>
      <c r="K644" s="2"/>
      <c r="L644" s="2"/>
      <c r="M644" s="2"/>
      <c r="N644" s="193"/>
      <c r="O644" s="293"/>
      <c r="P644" s="293"/>
      <c r="Q644" s="293"/>
      <c r="R644" s="293"/>
      <c r="S644" s="195"/>
      <c r="T644" s="2"/>
    </row>
    <row r="645" spans="1:20" customFormat="1" ht="14.4" hidden="1" customHeight="1" x14ac:dyDescent="0.3">
      <c r="A645" s="2"/>
      <c r="B645" s="2"/>
      <c r="C645" s="2"/>
      <c r="D645" s="2"/>
      <c r="E645" s="2"/>
      <c r="F645" s="2"/>
      <c r="G645" s="2"/>
      <c r="H645" s="2"/>
      <c r="I645" s="2"/>
      <c r="J645" s="2"/>
      <c r="K645" s="2"/>
      <c r="L645" s="2"/>
      <c r="M645" s="2"/>
      <c r="N645" s="193"/>
      <c r="O645" s="293"/>
      <c r="P645" s="293"/>
      <c r="Q645" s="293"/>
      <c r="R645" s="293"/>
      <c r="S645" s="195"/>
      <c r="T645" s="2"/>
    </row>
    <row r="646" spans="1:20" customFormat="1" ht="14.4" hidden="1" customHeight="1" x14ac:dyDescent="0.3">
      <c r="A646" s="2"/>
      <c r="B646" s="2"/>
      <c r="C646" s="2"/>
      <c r="D646" s="2"/>
      <c r="E646" s="2"/>
      <c r="F646" s="2"/>
      <c r="G646" s="2"/>
      <c r="H646" s="2"/>
      <c r="I646" s="2"/>
      <c r="J646" s="2"/>
      <c r="K646" s="2"/>
      <c r="L646" s="2"/>
      <c r="M646" s="2"/>
      <c r="N646" s="193"/>
      <c r="O646" s="293"/>
      <c r="P646" s="293"/>
      <c r="Q646" s="293"/>
      <c r="R646" s="293"/>
      <c r="S646" s="195"/>
      <c r="T646" s="2"/>
    </row>
    <row r="647" spans="1:20" customFormat="1" ht="14.4" hidden="1" customHeight="1" x14ac:dyDescent="0.3">
      <c r="A647" s="2"/>
      <c r="B647" s="2"/>
      <c r="C647" s="2"/>
      <c r="D647" s="2"/>
      <c r="E647" s="2"/>
      <c r="F647" s="2"/>
      <c r="G647" s="2"/>
      <c r="H647" s="2"/>
      <c r="I647" s="2"/>
      <c r="J647" s="2"/>
      <c r="K647" s="2"/>
      <c r="L647" s="2"/>
      <c r="M647" s="2"/>
      <c r="N647" s="193"/>
      <c r="O647" s="293"/>
      <c r="P647" s="293"/>
      <c r="Q647" s="293"/>
      <c r="R647" s="293"/>
      <c r="S647" s="195"/>
      <c r="T647" s="2"/>
    </row>
    <row r="648" spans="1:20" customFormat="1" ht="14.4" hidden="1" customHeight="1" x14ac:dyDescent="0.3">
      <c r="A648" s="2"/>
      <c r="B648" s="2"/>
      <c r="C648" s="2"/>
      <c r="D648" s="2"/>
      <c r="E648" s="2"/>
      <c r="F648" s="2"/>
      <c r="G648" s="2"/>
      <c r="H648" s="2"/>
      <c r="I648" s="2"/>
      <c r="J648" s="2"/>
      <c r="K648" s="2"/>
      <c r="L648" s="2"/>
      <c r="M648" s="2"/>
      <c r="N648" s="193"/>
      <c r="O648" s="293"/>
      <c r="P648" s="293"/>
      <c r="Q648" s="293"/>
      <c r="R648" s="293"/>
      <c r="S648" s="195"/>
      <c r="T648" s="2"/>
    </row>
    <row r="649" spans="1:20" customFormat="1" ht="14.4" hidden="1" customHeight="1" x14ac:dyDescent="0.3">
      <c r="A649" s="2"/>
      <c r="B649" s="2"/>
      <c r="C649" s="2"/>
      <c r="D649" s="2"/>
      <c r="E649" s="2"/>
      <c r="F649" s="2"/>
      <c r="G649" s="2"/>
      <c r="H649" s="2"/>
      <c r="I649" s="2"/>
      <c r="J649" s="2"/>
      <c r="K649" s="2"/>
      <c r="L649" s="2"/>
      <c r="M649" s="2"/>
      <c r="N649" s="193"/>
      <c r="O649" s="293"/>
      <c r="P649" s="293"/>
      <c r="Q649" s="293"/>
      <c r="R649" s="293"/>
      <c r="S649" s="195"/>
      <c r="T649" s="2"/>
    </row>
    <row r="650" spans="1:20" customFormat="1" ht="14.4" hidden="1" customHeight="1" x14ac:dyDescent="0.3">
      <c r="A650" s="2"/>
      <c r="B650" s="2"/>
      <c r="C650" s="2"/>
      <c r="D650" s="2"/>
      <c r="E650" s="2"/>
      <c r="F650" s="2"/>
      <c r="G650" s="2"/>
      <c r="H650" s="2"/>
      <c r="I650" s="2"/>
      <c r="J650" s="2"/>
      <c r="K650" s="2"/>
      <c r="L650" s="2"/>
      <c r="M650" s="2"/>
      <c r="N650" s="193"/>
      <c r="O650" s="293"/>
      <c r="P650" s="293"/>
      <c r="Q650" s="293"/>
      <c r="R650" s="293"/>
      <c r="S650" s="195"/>
      <c r="T650" s="2"/>
    </row>
    <row r="651" spans="1:20" customFormat="1" ht="14.4" hidden="1" customHeight="1" x14ac:dyDescent="0.3">
      <c r="A651" s="2"/>
      <c r="B651" s="2"/>
      <c r="C651" s="2"/>
      <c r="D651" s="2"/>
      <c r="E651" s="2"/>
      <c r="F651" s="2"/>
      <c r="G651" s="2"/>
      <c r="H651" s="2"/>
      <c r="I651" s="2"/>
      <c r="J651" s="2"/>
      <c r="K651" s="2"/>
      <c r="L651" s="2"/>
      <c r="M651" s="2"/>
      <c r="N651" s="193"/>
      <c r="O651" s="293"/>
      <c r="P651" s="293"/>
      <c r="Q651" s="293"/>
      <c r="R651" s="293"/>
      <c r="S651" s="195"/>
      <c r="T651" s="2"/>
    </row>
    <row r="652" spans="1:20" customFormat="1" ht="14.4" hidden="1" customHeight="1" x14ac:dyDescent="0.3">
      <c r="A652" s="2"/>
      <c r="B652" s="2"/>
      <c r="C652" s="2"/>
      <c r="D652" s="2"/>
      <c r="E652" s="2"/>
      <c r="F652" s="2"/>
      <c r="G652" s="2"/>
      <c r="H652" s="2"/>
      <c r="I652" s="2"/>
      <c r="J652" s="2"/>
      <c r="K652" s="2"/>
      <c r="L652" s="2"/>
      <c r="M652" s="2"/>
      <c r="N652" s="193"/>
      <c r="O652" s="293"/>
      <c r="P652" s="293"/>
      <c r="Q652" s="293"/>
      <c r="R652" s="293"/>
      <c r="S652" s="195"/>
      <c r="T652" s="2"/>
    </row>
    <row r="653" spans="1:20" customFormat="1" ht="14.4" hidden="1" customHeight="1" x14ac:dyDescent="0.3">
      <c r="A653" s="2"/>
      <c r="B653" s="2"/>
      <c r="C653" s="2"/>
      <c r="D653" s="2"/>
      <c r="E653" s="2"/>
      <c r="F653" s="2"/>
      <c r="G653" s="2"/>
      <c r="H653" s="2"/>
      <c r="I653" s="2"/>
      <c r="J653" s="2"/>
      <c r="K653" s="2"/>
      <c r="L653" s="2"/>
      <c r="M653" s="2"/>
      <c r="N653" s="193"/>
      <c r="O653" s="293"/>
      <c r="P653" s="293"/>
      <c r="Q653" s="293"/>
      <c r="R653" s="293"/>
      <c r="S653" s="195"/>
      <c r="T653" s="2"/>
    </row>
    <row r="654" spans="1:20" customFormat="1" ht="14.4" hidden="1" customHeight="1" x14ac:dyDescent="0.3">
      <c r="A654" s="2"/>
      <c r="B654" s="2"/>
      <c r="C654" s="2"/>
      <c r="D654" s="2"/>
      <c r="E654" s="2"/>
      <c r="F654" s="2"/>
      <c r="G654" s="2"/>
      <c r="H654" s="2"/>
      <c r="I654" s="2"/>
      <c r="J654" s="2"/>
      <c r="K654" s="2"/>
      <c r="L654" s="2"/>
      <c r="M654" s="2"/>
      <c r="N654" s="193"/>
      <c r="O654" s="293"/>
      <c r="P654" s="293"/>
      <c r="Q654" s="293"/>
      <c r="R654" s="293"/>
      <c r="S654" s="195"/>
      <c r="T654" s="2"/>
    </row>
    <row r="655" spans="1:20" customFormat="1" ht="14.4" hidden="1" customHeight="1" x14ac:dyDescent="0.3">
      <c r="A655" s="2"/>
      <c r="B655" s="2"/>
      <c r="C655" s="2"/>
      <c r="D655" s="2"/>
      <c r="E655" s="2"/>
      <c r="F655" s="2"/>
      <c r="G655" s="2"/>
      <c r="H655" s="2"/>
      <c r="I655" s="2"/>
      <c r="J655" s="2"/>
      <c r="K655" s="2"/>
      <c r="L655" s="2"/>
      <c r="M655" s="2"/>
      <c r="N655" s="193"/>
      <c r="O655" s="293"/>
      <c r="P655" s="293"/>
      <c r="Q655" s="293"/>
      <c r="R655" s="293"/>
      <c r="S655" s="195"/>
      <c r="T655" s="2"/>
    </row>
    <row r="656" spans="1:20" customFormat="1" ht="14.4" hidden="1" customHeight="1" x14ac:dyDescent="0.3">
      <c r="A656" s="2"/>
      <c r="B656" s="2"/>
      <c r="C656" s="2"/>
      <c r="D656" s="2"/>
      <c r="E656" s="2"/>
      <c r="F656" s="2"/>
      <c r="G656" s="2"/>
      <c r="H656" s="2"/>
      <c r="I656" s="2"/>
      <c r="J656" s="2"/>
      <c r="K656" s="2"/>
      <c r="L656" s="2"/>
      <c r="M656" s="2"/>
      <c r="N656" s="193"/>
      <c r="O656" s="293"/>
      <c r="P656" s="293"/>
      <c r="Q656" s="293"/>
      <c r="R656" s="293"/>
      <c r="S656" s="195"/>
      <c r="T656" s="2"/>
    </row>
    <row r="657" spans="2:19" x14ac:dyDescent="0.3">
      <c r="B657" s="2"/>
      <c r="C657" s="2"/>
      <c r="D657" s="2"/>
      <c r="E657" s="2"/>
      <c r="F657" s="2"/>
      <c r="G657" s="2"/>
      <c r="H657" s="2"/>
      <c r="I657" s="2"/>
      <c r="J657" s="2"/>
      <c r="K657" s="2"/>
      <c r="L657" s="2"/>
      <c r="M657" s="2"/>
      <c r="N657" s="193"/>
      <c r="O657" s="293"/>
      <c r="P657" s="293"/>
      <c r="Q657" s="293"/>
      <c r="R657" s="293"/>
      <c r="S657" s="195"/>
    </row>
    <row r="658" spans="2:19" x14ac:dyDescent="0.3">
      <c r="B658" s="2"/>
      <c r="C658" s="2"/>
      <c r="D658" s="2"/>
      <c r="E658" s="2"/>
      <c r="F658" s="2"/>
      <c r="G658" s="2"/>
      <c r="H658" s="2"/>
      <c r="I658" s="2"/>
      <c r="J658" s="2"/>
      <c r="K658" s="2"/>
      <c r="L658" s="2"/>
      <c r="M658" s="2"/>
      <c r="N658" s="193"/>
      <c r="O658" s="293"/>
      <c r="P658" s="293"/>
      <c r="Q658" s="293"/>
      <c r="R658" s="293"/>
      <c r="S658" s="195"/>
    </row>
    <row r="659" spans="2:19" x14ac:dyDescent="0.3">
      <c r="B659" s="2"/>
      <c r="C659" s="2"/>
      <c r="D659" s="2"/>
      <c r="E659" s="2"/>
      <c r="F659" s="2"/>
      <c r="G659" s="2"/>
      <c r="H659" s="2"/>
      <c r="I659" s="2"/>
      <c r="J659" s="2"/>
      <c r="K659" s="2"/>
      <c r="L659" s="2"/>
      <c r="M659" s="2"/>
      <c r="N659" s="193"/>
      <c r="O659" s="293"/>
      <c r="P659" s="293"/>
      <c r="Q659" s="293"/>
      <c r="R659" s="293"/>
      <c r="S659" s="195"/>
    </row>
    <row r="660" spans="2:19" x14ac:dyDescent="0.3">
      <c r="B660" s="2"/>
      <c r="C660" s="2"/>
      <c r="D660" s="2"/>
      <c r="E660" s="2"/>
      <c r="F660" s="2"/>
      <c r="G660" s="2"/>
      <c r="H660" s="2"/>
      <c r="I660" s="2"/>
      <c r="J660" s="2"/>
      <c r="K660" s="2"/>
      <c r="L660" s="2"/>
      <c r="M660" s="2"/>
      <c r="N660" s="193"/>
      <c r="O660" s="293"/>
      <c r="P660" s="293"/>
      <c r="Q660" s="293"/>
      <c r="R660" s="293"/>
      <c r="S660" s="195"/>
    </row>
    <row r="661" spans="2:19" x14ac:dyDescent="0.3">
      <c r="B661" s="2"/>
      <c r="C661" s="2"/>
      <c r="D661" s="2"/>
      <c r="E661" s="2"/>
      <c r="F661" s="2"/>
      <c r="G661" s="2"/>
      <c r="H661" s="2"/>
      <c r="I661" s="2"/>
      <c r="J661" s="2"/>
      <c r="K661" s="2"/>
      <c r="L661" s="2"/>
      <c r="M661" s="2"/>
      <c r="N661" s="193"/>
      <c r="O661" s="293"/>
      <c r="P661" s="293"/>
      <c r="Q661" s="293"/>
      <c r="R661" s="293"/>
      <c r="S661" s="195"/>
    </row>
    <row r="662" spans="2:19" x14ac:dyDescent="0.3">
      <c r="B662" s="2"/>
      <c r="C662" s="2"/>
      <c r="D662" s="2"/>
      <c r="E662" s="2"/>
      <c r="F662" s="2"/>
      <c r="G662" s="2"/>
      <c r="H662" s="2"/>
      <c r="I662" s="2"/>
      <c r="J662" s="2"/>
      <c r="K662" s="2"/>
      <c r="L662" s="2"/>
      <c r="M662" s="2"/>
      <c r="N662" s="193"/>
      <c r="O662" s="293"/>
      <c r="P662" s="293"/>
      <c r="Q662" s="293"/>
      <c r="R662" s="293"/>
      <c r="S662" s="195"/>
    </row>
    <row r="663" spans="2:19" x14ac:dyDescent="0.3">
      <c r="B663" s="2"/>
      <c r="C663" s="2"/>
      <c r="D663" s="2"/>
      <c r="E663" s="2"/>
      <c r="F663" s="2"/>
      <c r="G663" s="2"/>
      <c r="H663" s="2"/>
      <c r="I663" s="2"/>
      <c r="J663" s="2"/>
      <c r="K663" s="2"/>
      <c r="L663" s="2"/>
      <c r="M663" s="2"/>
      <c r="N663" s="193"/>
      <c r="O663" s="293"/>
      <c r="P663" s="293"/>
      <c r="Q663" s="293"/>
      <c r="R663" s="293"/>
      <c r="S663" s="195"/>
    </row>
    <row r="664" spans="2:19" x14ac:dyDescent="0.3">
      <c r="B664" s="2"/>
      <c r="C664" s="2"/>
      <c r="D664" s="2"/>
      <c r="E664" s="2"/>
      <c r="F664" s="2"/>
      <c r="G664" s="2"/>
      <c r="H664" s="2"/>
      <c r="I664" s="2"/>
      <c r="J664" s="2"/>
      <c r="K664" s="2"/>
      <c r="L664" s="2"/>
      <c r="M664" s="2"/>
      <c r="N664" s="193"/>
      <c r="O664" s="293"/>
      <c r="P664" s="293"/>
      <c r="Q664" s="293"/>
      <c r="R664" s="293"/>
      <c r="S664" s="195"/>
    </row>
    <row r="665" spans="2:19" x14ac:dyDescent="0.3">
      <c r="B665" s="2"/>
      <c r="C665" s="2"/>
      <c r="D665" s="2"/>
      <c r="E665" s="2"/>
      <c r="F665" s="2"/>
      <c r="G665" s="2"/>
      <c r="H665" s="2"/>
      <c r="I665" s="2"/>
      <c r="J665" s="2"/>
      <c r="K665" s="2"/>
      <c r="L665" s="2"/>
      <c r="M665" s="2"/>
      <c r="N665" s="193"/>
      <c r="O665" s="293"/>
      <c r="P665" s="293"/>
      <c r="Q665" s="293"/>
      <c r="R665" s="293"/>
      <c r="S665" s="195"/>
    </row>
    <row r="666" spans="2:19" x14ac:dyDescent="0.3">
      <c r="B666" s="2"/>
      <c r="C666" s="2"/>
      <c r="D666" s="2"/>
      <c r="E666" s="2"/>
      <c r="F666" s="2"/>
      <c r="G666" s="2"/>
      <c r="H666" s="2"/>
      <c r="I666" s="2"/>
      <c r="J666" s="2"/>
      <c r="K666" s="2"/>
      <c r="L666" s="2"/>
      <c r="M666" s="2"/>
      <c r="N666" s="193"/>
      <c r="O666" s="293"/>
      <c r="P666" s="293"/>
      <c r="Q666" s="293"/>
      <c r="R666" s="293"/>
      <c r="S666" s="195"/>
    </row>
    <row r="667" spans="2:19" x14ac:dyDescent="0.3">
      <c r="B667" s="2"/>
      <c r="C667" s="2"/>
      <c r="D667" s="2"/>
      <c r="E667" s="2"/>
      <c r="F667" s="2"/>
      <c r="G667" s="2"/>
      <c r="H667" s="2"/>
      <c r="I667" s="2"/>
      <c r="J667" s="2"/>
      <c r="K667" s="2"/>
      <c r="L667" s="2"/>
      <c r="M667" s="2"/>
      <c r="N667" s="193"/>
      <c r="O667" s="293"/>
      <c r="P667" s="293"/>
      <c r="Q667" s="293"/>
      <c r="R667" s="293"/>
      <c r="S667" s="195"/>
    </row>
    <row r="668" spans="2:19" x14ac:dyDescent="0.3">
      <c r="B668" s="2"/>
      <c r="C668" s="2"/>
      <c r="D668" s="2"/>
      <c r="E668" s="2"/>
      <c r="F668" s="2"/>
      <c r="G668" s="2"/>
      <c r="H668" s="2"/>
      <c r="I668" s="2"/>
      <c r="J668" s="2"/>
      <c r="K668" s="2"/>
      <c r="L668" s="2"/>
      <c r="M668" s="2"/>
      <c r="N668" s="193"/>
      <c r="O668" s="293"/>
      <c r="P668" s="293"/>
      <c r="Q668" s="293"/>
      <c r="R668" s="293"/>
      <c r="S668" s="195"/>
    </row>
    <row r="669" spans="2:19" x14ac:dyDescent="0.3">
      <c r="B669" s="2"/>
      <c r="C669" s="2"/>
      <c r="D669" s="2"/>
      <c r="E669" s="2"/>
      <c r="F669" s="2"/>
      <c r="G669" s="2"/>
      <c r="H669" s="2"/>
      <c r="I669" s="2"/>
      <c r="J669" s="2"/>
      <c r="K669" s="2"/>
      <c r="L669" s="2"/>
      <c r="M669" s="2"/>
      <c r="N669" s="193"/>
      <c r="O669" s="293"/>
      <c r="P669" s="293"/>
      <c r="Q669" s="293"/>
      <c r="R669" s="293"/>
      <c r="S669" s="195"/>
    </row>
    <row r="670" spans="2:19" x14ac:dyDescent="0.3">
      <c r="B670" s="2"/>
      <c r="C670" s="2"/>
      <c r="D670" s="2"/>
      <c r="E670" s="2"/>
      <c r="F670" s="2"/>
      <c r="G670" s="2"/>
      <c r="H670" s="2"/>
      <c r="I670" s="2"/>
      <c r="J670" s="2"/>
      <c r="K670" s="2"/>
      <c r="L670" s="2"/>
      <c r="M670" s="2"/>
      <c r="N670" s="193"/>
      <c r="O670" s="293"/>
      <c r="P670" s="293"/>
      <c r="Q670" s="293"/>
      <c r="R670" s="293"/>
      <c r="S670" s="195"/>
    </row>
    <row r="671" spans="2:19" x14ac:dyDescent="0.3">
      <c r="B671" s="2"/>
      <c r="C671" s="2"/>
      <c r="D671" s="2"/>
      <c r="E671" s="2"/>
      <c r="F671" s="2"/>
      <c r="G671" s="2"/>
      <c r="H671" s="2"/>
      <c r="I671" s="2"/>
      <c r="J671" s="2"/>
      <c r="K671" s="2"/>
      <c r="L671" s="2"/>
      <c r="M671" s="2"/>
      <c r="N671" s="193"/>
      <c r="O671" s="293"/>
      <c r="P671" s="293"/>
      <c r="Q671" s="293"/>
      <c r="R671" s="293"/>
      <c r="S671" s="195"/>
    </row>
    <row r="672" spans="2:19" x14ac:dyDescent="0.3">
      <c r="B672" s="2"/>
      <c r="C672" s="2"/>
      <c r="D672" s="2"/>
      <c r="E672" s="2"/>
      <c r="F672" s="2"/>
      <c r="G672" s="2"/>
      <c r="H672" s="2"/>
      <c r="I672" s="2"/>
      <c r="J672" s="2"/>
      <c r="K672" s="2"/>
      <c r="L672" s="2"/>
      <c r="M672" s="2"/>
      <c r="N672" s="193"/>
      <c r="O672" s="293"/>
      <c r="P672" s="293"/>
      <c r="Q672" s="293"/>
      <c r="R672" s="293"/>
      <c r="S672" s="195"/>
    </row>
    <row r="673" spans="2:19" x14ac:dyDescent="0.3">
      <c r="B673" s="2"/>
      <c r="C673" s="2"/>
      <c r="D673" s="2"/>
      <c r="E673" s="2"/>
      <c r="F673" s="2"/>
      <c r="G673" s="2"/>
      <c r="H673" s="2"/>
      <c r="I673" s="2"/>
      <c r="J673" s="2"/>
      <c r="K673" s="2"/>
      <c r="L673" s="2"/>
      <c r="M673" s="2"/>
      <c r="N673" s="193"/>
      <c r="O673" s="293"/>
      <c r="P673" s="293"/>
      <c r="Q673" s="293"/>
      <c r="R673" s="293"/>
      <c r="S673" s="195"/>
    </row>
    <row r="674" spans="2:19" x14ac:dyDescent="0.3">
      <c r="B674" s="2"/>
      <c r="C674" s="2"/>
      <c r="D674" s="2"/>
      <c r="E674" s="2"/>
      <c r="F674" s="2"/>
      <c r="G674" s="2"/>
      <c r="H674" s="2"/>
      <c r="I674" s="2"/>
      <c r="J674" s="2"/>
      <c r="K674" s="2"/>
      <c r="L674" s="2"/>
      <c r="M674" s="2"/>
      <c r="N674" s="193"/>
      <c r="O674" s="293"/>
      <c r="P674" s="293"/>
      <c r="Q674" s="293"/>
      <c r="R674" s="293"/>
      <c r="S674" s="195"/>
    </row>
    <row r="675" spans="2:19" x14ac:dyDescent="0.3">
      <c r="B675" s="2"/>
      <c r="C675" s="2"/>
      <c r="D675" s="2"/>
      <c r="E675" s="2"/>
      <c r="F675" s="2"/>
      <c r="G675" s="2"/>
      <c r="H675" s="2"/>
      <c r="I675" s="2"/>
      <c r="J675" s="2"/>
      <c r="K675" s="2"/>
      <c r="L675" s="2"/>
      <c r="M675" s="2"/>
      <c r="N675" s="193"/>
      <c r="O675" s="293"/>
      <c r="P675" s="293"/>
      <c r="Q675" s="293"/>
      <c r="R675" s="293"/>
      <c r="S675" s="195"/>
    </row>
    <row r="676" spans="2:19" x14ac:dyDescent="0.3">
      <c r="B676" s="2"/>
      <c r="C676" s="2"/>
      <c r="D676" s="2"/>
      <c r="E676" s="2"/>
      <c r="F676" s="2"/>
      <c r="G676" s="2"/>
      <c r="H676" s="2"/>
      <c r="I676" s="2"/>
      <c r="J676" s="2"/>
      <c r="K676" s="2"/>
      <c r="L676" s="2"/>
      <c r="M676" s="2"/>
      <c r="N676" s="196"/>
      <c r="O676" s="197"/>
      <c r="P676" s="197"/>
      <c r="Q676" s="197"/>
      <c r="R676" s="197"/>
      <c r="S676" s="198"/>
    </row>
    <row r="677" spans="2:19" x14ac:dyDescent="0.3">
      <c r="B677" s="2"/>
      <c r="C677" s="2"/>
      <c r="D677" s="2"/>
      <c r="E677" s="2"/>
      <c r="F677" s="2"/>
      <c r="G677" s="2"/>
      <c r="H677" s="2"/>
      <c r="I677" s="2"/>
      <c r="J677" s="2"/>
      <c r="K677" s="2"/>
      <c r="L677" s="2"/>
      <c r="M677" s="2"/>
    </row>
    <row r="678" spans="2:19" x14ac:dyDescent="0.3">
      <c r="B678" s="2"/>
      <c r="C678" s="2"/>
      <c r="D678" s="2"/>
      <c r="E678" s="2"/>
      <c r="F678" s="2"/>
      <c r="G678" s="2"/>
      <c r="H678" s="2"/>
      <c r="I678" s="2"/>
      <c r="J678" s="2"/>
      <c r="K678" s="2"/>
      <c r="L678" s="2"/>
      <c r="M678" s="2"/>
    </row>
  </sheetData>
  <mergeCells count="134">
    <mergeCell ref="N554:S556"/>
    <mergeCell ref="N559:S676"/>
    <mergeCell ref="N526:S528"/>
    <mergeCell ref="C476:H499"/>
    <mergeCell ref="N531:S550"/>
    <mergeCell ref="B516:D518"/>
    <mergeCell ref="B521:D536"/>
    <mergeCell ref="B408:S410"/>
    <mergeCell ref="K237:L238"/>
    <mergeCell ref="K246:L247"/>
    <mergeCell ref="K251:L252"/>
    <mergeCell ref="E258:F259"/>
    <mergeCell ref="C471:H473"/>
    <mergeCell ref="K177:L178"/>
    <mergeCell ref="K186:L187"/>
    <mergeCell ref="K194:L195"/>
    <mergeCell ref="K200:L201"/>
    <mergeCell ref="K209:L210"/>
    <mergeCell ref="I270:J271"/>
    <mergeCell ref="I220:J221"/>
    <mergeCell ref="I262:J263"/>
    <mergeCell ref="I232:J233"/>
    <mergeCell ref="I238:J239"/>
    <mergeCell ref="I244:J245"/>
    <mergeCell ref="I257:J258"/>
    <mergeCell ref="I187:J188"/>
    <mergeCell ref="I192:J193"/>
    <mergeCell ref="I209:J210"/>
    <mergeCell ref="I215:J216"/>
    <mergeCell ref="G235:H236"/>
    <mergeCell ref="G243:H244"/>
    <mergeCell ref="G248:H249"/>
    <mergeCell ref="I165:J166"/>
    <mergeCell ref="I180:J181"/>
    <mergeCell ref="K262:L263"/>
    <mergeCell ref="K267:L268"/>
    <mergeCell ref="K214:L215"/>
    <mergeCell ref="K219:L220"/>
    <mergeCell ref="K224:L225"/>
    <mergeCell ref="G164:H165"/>
    <mergeCell ref="G169:H170"/>
    <mergeCell ref="G174:H175"/>
    <mergeCell ref="G179:H180"/>
    <mergeCell ref="G224:H225"/>
    <mergeCell ref="G230:H231"/>
    <mergeCell ref="G253:H254"/>
    <mergeCell ref="G191:H192"/>
    <mergeCell ref="G197:H198"/>
    <mergeCell ref="G203:H204"/>
    <mergeCell ref="G209:H210"/>
    <mergeCell ref="G214:H215"/>
    <mergeCell ref="G219:H220"/>
    <mergeCell ref="K172:L173"/>
    <mergeCell ref="K8:Q8"/>
    <mergeCell ref="B23:S25"/>
    <mergeCell ref="K165:L166"/>
    <mergeCell ref="K28:L29"/>
    <mergeCell ref="K34:L35"/>
    <mergeCell ref="K41:L42"/>
    <mergeCell ref="K51:L52"/>
    <mergeCell ref="K56:L57"/>
    <mergeCell ref="K64:L65"/>
    <mergeCell ref="K84:L85"/>
    <mergeCell ref="K99:L100"/>
    <mergeCell ref="K106:L107"/>
    <mergeCell ref="K116:L117"/>
    <mergeCell ref="K124:L125"/>
    <mergeCell ref="K131:L132"/>
    <mergeCell ref="K145:L146"/>
    <mergeCell ref="K157:L158"/>
    <mergeCell ref="I118:J119"/>
    <mergeCell ref="I124:J125"/>
    <mergeCell ref="I139:J140"/>
    <mergeCell ref="I147:J148"/>
    <mergeCell ref="I154:J155"/>
    <mergeCell ref="I159:J160"/>
    <mergeCell ref="I28:J29"/>
    <mergeCell ref="I44:J45"/>
    <mergeCell ref="I61:J62"/>
    <mergeCell ref="I74:J75"/>
    <mergeCell ref="I82:J83"/>
    <mergeCell ref="I87:J88"/>
    <mergeCell ref="I94:J95"/>
    <mergeCell ref="I104:J105"/>
    <mergeCell ref="I112:J113"/>
    <mergeCell ref="E34:F35"/>
    <mergeCell ref="E52:F53"/>
    <mergeCell ref="E57:F58"/>
    <mergeCell ref="G107:H108"/>
    <mergeCell ref="G113:H114"/>
    <mergeCell ref="E73:F74"/>
    <mergeCell ref="G118:H119"/>
    <mergeCell ref="G123:H124"/>
    <mergeCell ref="G137:H138"/>
    <mergeCell ref="G143:H144"/>
    <mergeCell ref="G79:H80"/>
    <mergeCell ref="G88:H89"/>
    <mergeCell ref="G96:H97"/>
    <mergeCell ref="G148:H149"/>
    <mergeCell ref="G154:H155"/>
    <mergeCell ref="E129:F130"/>
    <mergeCell ref="E136:F137"/>
    <mergeCell ref="E141:F142"/>
    <mergeCell ref="E151:F152"/>
    <mergeCell ref="E157:F158"/>
    <mergeCell ref="E163:F164"/>
    <mergeCell ref="E78:F79"/>
    <mergeCell ref="E86:F87"/>
    <mergeCell ref="E97:F98"/>
    <mergeCell ref="E102:F103"/>
    <mergeCell ref="E107:F108"/>
    <mergeCell ref="E119:F120"/>
    <mergeCell ref="C3:G4"/>
    <mergeCell ref="B8:I20"/>
    <mergeCell ref="E28:F29"/>
    <mergeCell ref="E263:F264"/>
    <mergeCell ref="E217:F218"/>
    <mergeCell ref="E224:F225"/>
    <mergeCell ref="E232:F233"/>
    <mergeCell ref="E237:F238"/>
    <mergeCell ref="E248:F249"/>
    <mergeCell ref="E253:F254"/>
    <mergeCell ref="E172:F173"/>
    <mergeCell ref="E187:F188"/>
    <mergeCell ref="E192:F193"/>
    <mergeCell ref="E197:F198"/>
    <mergeCell ref="E202:F203"/>
    <mergeCell ref="E211:F212"/>
    <mergeCell ref="G28:H29"/>
    <mergeCell ref="G39:H40"/>
    <mergeCell ref="G49:H50"/>
    <mergeCell ref="G55:H56"/>
    <mergeCell ref="G70:H71"/>
    <mergeCell ref="G258:H259"/>
  </mergeCells>
  <pageMargins left="0.7" right="0.7" top="0.75" bottom="0.75" header="0.3" footer="0.3"/>
  <pageSetup orientation="portrait" r:id="rId6"/>
  <drawing r:id="rId7"/>
  <tableParts count="2">
    <tablePart r:id="rId8"/>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Navigation</vt:lpstr>
      <vt:lpstr>Voting Accuracy</vt:lpstr>
      <vt:lpstr>Alliance Size</vt:lpstr>
      <vt:lpstr>Challenge Performance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Powell</dc:creator>
  <cp:lastModifiedBy>Jack Powell</cp:lastModifiedBy>
  <dcterms:created xsi:type="dcterms:W3CDTF">2023-06-12T00:01:00Z</dcterms:created>
  <dcterms:modified xsi:type="dcterms:W3CDTF">2023-08-04T13:58:49Z</dcterms:modified>
</cp:coreProperties>
</file>